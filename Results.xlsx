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8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3"/>
  <workbookPr/>
  <xr:revisionPtr revIDLastSave="0" documentId="8_{CA7B8A85-2982-4B75-B8AE-18BCF971FCF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Results" sheetId="4" r:id="rId1"/>
    <sheet name="Time" sheetId="7" r:id="rId2"/>
    <sheet name="Methods" sheetId="6" r:id="rId3"/>
    <sheet name="Tools justification" sheetId="5" r:id="rId4"/>
  </sheets>
  <definedNames>
    <definedName name="_xlchart.v1.0" hidden="1">Time!$A$2</definedName>
    <definedName name="_xlchart.v1.1" hidden="1">Time!$B$2:$F$2</definedName>
    <definedName name="_xlchart.v1.10" hidden="1">Time!$A$7</definedName>
    <definedName name="_xlchart.v1.11" hidden="1">Time!$B$7:$F$7</definedName>
    <definedName name="_xlchart.v1.12" hidden="1">Time!$A$3</definedName>
    <definedName name="_xlchart.v1.13" hidden="1">Time!$A$4</definedName>
    <definedName name="_xlchart.v1.14" hidden="1">Time!$A$5</definedName>
    <definedName name="_xlchart.v1.15" hidden="1">Time!$B$2:$F$2</definedName>
    <definedName name="_xlchart.v1.16" hidden="1">Time!$B$3:$F$3</definedName>
    <definedName name="_xlchart.v1.17" hidden="1">Time!$B$4:$F$4</definedName>
    <definedName name="_xlchart.v1.18" hidden="1">Time!$B$5:$F$5</definedName>
    <definedName name="_xlchart.v1.19" hidden="1">Time!$B$2:$F$2</definedName>
    <definedName name="_xlchart.v1.2" hidden="1">Time!$A$3</definedName>
    <definedName name="_xlchart.v1.20" hidden="1">Time!$B$3:$F$3</definedName>
    <definedName name="_xlchart.v1.21" hidden="1">Time!$B$4:$F$4</definedName>
    <definedName name="_xlchart.v1.22" hidden="1">Time!$B$5:$F$5</definedName>
    <definedName name="_xlchart.v1.23" hidden="1">Time!$B$6:$F$6</definedName>
    <definedName name="_xlchart.v1.24" hidden="1">Time!$B$7:$F$7</definedName>
    <definedName name="_xlchart.v1.3" hidden="1">Time!$B$3:$F$3</definedName>
    <definedName name="_xlchart.v1.4" hidden="1">Time!$A$4</definedName>
    <definedName name="_xlchart.v1.5" hidden="1">Time!$B$4:$F$4</definedName>
    <definedName name="_xlchart.v1.6" hidden="1">Time!$A$5</definedName>
    <definedName name="_xlchart.v1.7" hidden="1">Time!$B$5:$F$5</definedName>
    <definedName name="_xlchart.v1.8" hidden="1">Time!$A$6</definedName>
    <definedName name="_xlchart.v1.9" hidden="1">Time!$B$6:$F$6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7" l="1"/>
  <c r="J4" i="7"/>
  <c r="I5" i="7"/>
  <c r="J5" i="7"/>
  <c r="I6" i="7"/>
  <c r="J6" i="7"/>
  <c r="I7" i="7"/>
  <c r="J7" i="7"/>
  <c r="J3" i="7"/>
  <c r="I3" i="7"/>
  <c r="H7" i="7"/>
  <c r="G3" i="7"/>
  <c r="G4" i="7"/>
  <c r="G5" i="7"/>
  <c r="G6" i="7"/>
  <c r="G7" i="7"/>
  <c r="H3" i="7"/>
  <c r="H4" i="7"/>
  <c r="H5" i="7"/>
  <c r="H6" i="7"/>
  <c r="H2" i="7"/>
  <c r="G2" i="7"/>
</calcChain>
</file>

<file path=xl/sharedStrings.xml><?xml version="1.0" encoding="utf-8"?>
<sst xmlns="http://schemas.openxmlformats.org/spreadsheetml/2006/main" count="1144" uniqueCount="152">
  <si>
    <t>Mythril</t>
  </si>
  <si>
    <t>Slither</t>
  </si>
  <si>
    <t>Undetected Vulnerabilities</t>
  </si>
  <si>
    <t>Mapowanie detektorów na podatności SWC</t>
  </si>
  <si>
    <t>Vulnerability</t>
  </si>
  <si>
    <t>Detected in 0.4.24</t>
  </si>
  <si>
    <t>Detected in 0.5.8</t>
  </si>
  <si>
    <t>Reason</t>
  </si>
  <si>
    <t>Tool</t>
  </si>
  <si>
    <t>Detector name</t>
  </si>
  <si>
    <t>SWC classification</t>
  </si>
  <si>
    <t>SmartFast</t>
  </si>
  <si>
    <t>Securify</t>
  </si>
  <si>
    <t>Aderyn</t>
  </si>
  <si>
    <t>Solhint</t>
  </si>
  <si>
    <t>SWC-101</t>
  </si>
  <si>
    <t>✅</t>
  </si>
  <si>
    <t>SWC-102</t>
  </si>
  <si>
    <t>SWC-100</t>
  </si>
  <si>
    <t>None of the test tools detects</t>
  </si>
  <si>
    <t>pragma</t>
  </si>
  <si>
    <t>-</t>
  </si>
  <si>
    <t>Yes</t>
  </si>
  <si>
    <t>SWC-103</t>
  </si>
  <si>
    <t>SmartFast did not caught it</t>
  </si>
  <si>
    <t>SWC-104</t>
  </si>
  <si>
    <t>❌</t>
  </si>
  <si>
    <t>SWC-117</t>
  </si>
  <si>
    <t>unused-return</t>
  </si>
  <si>
    <t>SWC-105</t>
  </si>
  <si>
    <t>Not implemented</t>
  </si>
  <si>
    <t>SWC-106</t>
  </si>
  <si>
    <t>SWC-118</t>
  </si>
  <si>
    <t>suicidal</t>
  </si>
  <si>
    <t>No</t>
  </si>
  <si>
    <t>SWC-107</t>
  </si>
  <si>
    <t>SWC-121</t>
  </si>
  <si>
    <t>reentrancy-no-eth</t>
  </si>
  <si>
    <t>SWC-109</t>
  </si>
  <si>
    <t>SWC-122</t>
  </si>
  <si>
    <t>uninitialized-storage</t>
  </si>
  <si>
    <t>SWC-110</t>
  </si>
  <si>
    <t>SWC-112</t>
  </si>
  <si>
    <t>SWC-132</t>
  </si>
  <si>
    <t>Securify did not caught it</t>
  </si>
  <si>
    <t>controlled-delegatecall</t>
  </si>
  <si>
    <t>SWC-114</t>
  </si>
  <si>
    <t>SWC-133</t>
  </si>
  <si>
    <t>Slither, Aderyn and SmartFast did not caught it</t>
  </si>
  <si>
    <t>tx-origin</t>
  </si>
  <si>
    <t>SWC-115</t>
  </si>
  <si>
    <t>SWC-108</t>
  </si>
  <si>
    <t>SWC-113</t>
  </si>
  <si>
    <t>SWC-134</t>
  </si>
  <si>
    <t>shadowing-state</t>
  </si>
  <si>
    <t>SWC-119</t>
  </si>
  <si>
    <t>SWC-135</t>
  </si>
  <si>
    <t>weak-prng</t>
  </si>
  <si>
    <t>SWC-120</t>
  </si>
  <si>
    <t>SWC-116</t>
  </si>
  <si>
    <t>SWC-136</t>
  </si>
  <si>
    <t>incorrect-unary</t>
  </si>
  <si>
    <t>SWC-129</t>
  </si>
  <si>
    <t>SWC-111</t>
  </si>
  <si>
    <t>unused-state</t>
  </si>
  <si>
    <t>SWC-131</t>
  </si>
  <si>
    <t>SWC-124</t>
  </si>
  <si>
    <t>SWC-130</t>
  </si>
  <si>
    <t>encode-packed-collision</t>
  </si>
  <si>
    <t>SWC-127</t>
  </si>
  <si>
    <t>integer-overflow</t>
  </si>
  <si>
    <t>solc-version</t>
  </si>
  <si>
    <t>Not from the article</t>
  </si>
  <si>
    <t>visibility</t>
  </si>
  <si>
    <t>assert-violation</t>
  </si>
  <si>
    <t>SWC-128</t>
  </si>
  <si>
    <t>deprecated-standards</t>
  </si>
  <si>
    <t>timestamp</t>
  </si>
  <si>
    <t>incorrect-constructor</t>
  </si>
  <si>
    <t>extra-gas-inloops</t>
  </si>
  <si>
    <t>typographical-error</t>
  </si>
  <si>
    <t>mul-var-len-arguments</t>
  </si>
  <si>
    <t>code-no-effects</t>
  </si>
  <si>
    <t>unspecific-solidity-pragma</t>
  </si>
  <si>
    <t>Not imlemented</t>
  </si>
  <si>
    <t>unchecked-return</t>
  </si>
  <si>
    <t>reentrancy-state-change-after-external-call</t>
  </si>
  <si>
    <t>delegate-call-on-unchecked-address</t>
  </si>
  <si>
    <t>unchecked-low-level-call</t>
  </si>
  <si>
    <t>tx-origin-used-for-auth</t>
  </si>
  <si>
    <t>raw-ecrecover</t>
  </si>
  <si>
    <t>state-variable-shadowing</t>
  </si>
  <si>
    <t>weak-randomness</t>
  </si>
  <si>
    <t>dangerous-unary-operator</t>
  </si>
  <si>
    <t>unused-state-variable</t>
  </si>
  <si>
    <t>hash-collision-due-to-abi-encode-packed</t>
  </si>
  <si>
    <t>func-visibility</t>
  </si>
  <si>
    <t>compiler-version</t>
  </si>
  <si>
    <t>check-send-result</t>
  </si>
  <si>
    <t>reentrancy</t>
  </si>
  <si>
    <t>avoid-suicide</t>
  </si>
  <si>
    <t>avoid-low-level-calls</t>
  </si>
  <si>
    <t>avoid-tx-origin</t>
  </si>
  <si>
    <t>not-rely-on-block-hash</t>
  </si>
  <si>
    <t>not-rely-on-time</t>
  </si>
  <si>
    <t>no-unused-vars</t>
  </si>
  <si>
    <t>SWC-123</t>
  </si>
  <si>
    <t>SWC-125</t>
  </si>
  <si>
    <t>SWC-126</t>
  </si>
  <si>
    <t>Time 1</t>
  </si>
  <si>
    <t>Time 2</t>
  </si>
  <si>
    <t>Time 3</t>
  </si>
  <si>
    <t>Time 4</t>
  </si>
  <si>
    <t>Time 5</t>
  </si>
  <si>
    <t>Avg</t>
  </si>
  <si>
    <t>std dev</t>
  </si>
  <si>
    <t xml:space="preserve">lower </t>
  </si>
  <si>
    <t>upper</t>
  </si>
  <si>
    <t>Method category</t>
  </si>
  <si>
    <t>Method technique</t>
  </si>
  <si>
    <t>Description</t>
  </si>
  <si>
    <t>Symbolic execution</t>
  </si>
  <si>
    <t>Taint analysis</t>
  </si>
  <si>
    <t>Abstract interpretation</t>
  </si>
  <si>
    <t>Pattern recognition</t>
  </si>
  <si>
    <t>Formal methods</t>
  </si>
  <si>
    <t>Code analysis</t>
  </si>
  <si>
    <t>Number of vulnerabilities</t>
  </si>
  <si>
    <t>Reason not used</t>
  </si>
  <si>
    <t>over 70 tools</t>
  </si>
  <si>
    <t>Used</t>
  </si>
  <si>
    <t>SmartCheck</t>
  </si>
  <si>
    <t>Could not useduet to Java-related runtime errors</t>
  </si>
  <si>
    <t>ConFuzzius</t>
  </si>
  <si>
    <t>Could not use due to smart contract compilation errors</t>
  </si>
  <si>
    <t>MANDO-HGT</t>
  </si>
  <si>
    <t>Could not use due to unclear execution procedure</t>
  </si>
  <si>
    <t>MODNN</t>
  </si>
  <si>
    <t>No available implementation found</t>
  </si>
  <si>
    <t>EtherGIS</t>
  </si>
  <si>
    <t>No public implementation available (described in article)</t>
  </si>
  <si>
    <t xml:space="preserve">Etherolic </t>
  </si>
  <si>
    <t>HFCCT</t>
  </si>
  <si>
    <t>Could not use due to compilation errors</t>
  </si>
  <si>
    <t>IR-Fuzz</t>
  </si>
  <si>
    <t>MOPS</t>
  </si>
  <si>
    <t>sFuzz</t>
  </si>
  <si>
    <t>Solanalyser</t>
  </si>
  <si>
    <t>Archived/inactive repository</t>
  </si>
  <si>
    <t>SoliDetector</t>
  </si>
  <si>
    <t>No usage instructions provided</t>
  </si>
  <si>
    <t>Zeus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</si>
</sst>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</cx:f>
      </cx:numDim>
    </cx:data>
  </cx:chartData>
  <cx:chart>
    <cx:title pos="t" align="ctr" overlay="0">
      <cx:tx>
        <cx:txData>
          <cx:v>Box plot for Slither analysis execution time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Box plot for Slither analysis execution time</a:t>
          </a:r>
        </a:p>
      </cx:txPr>
    </cx:title>
    <cx:plotArea>
      <cx:plotAreaRegion>
        <cx:series layoutId="boxWhisker" uniqueId="{3BDF89D2-DD3F-420E-AED3-2E8D2A5CA296}">
          <cx:tx>
            <cx:txData>
              <cx:f>_xlchart.v1.0</cx:f>
              <cx:v>Slither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majorTickMarks type="out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Time [ms]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Time [ms]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_xlchart.v1.3</cx:f>
      </cx:numDim>
    </cx:data>
  </cx:chartData>
  <cx:chart>
    <cx:title pos="t" align="ctr" overlay="0">
      <cx:tx>
        <cx:txData>
          <cx:v>Box plot for SmartFast analysis execution time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Box plot for SmartFast analysis execution time</a:t>
          </a:r>
        </a:p>
      </cx:txPr>
    </cx:title>
    <cx:plotArea>
      <cx:plotAreaRegion>
        <cx:series layoutId="boxWhisker" uniqueId="{27B9639B-C6BE-4F76-BC9B-853EF694E863}">
          <cx:tx>
            <cx:txData>
              <cx:f>_xlchart.v1.2</cx:f>
              <cx:v>SmartFast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Time [ms]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Time [ms]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_xlchart.v1.5</cx:f>
      </cx:numDim>
    </cx:data>
  </cx:chartData>
  <cx:chart>
    <cx:title pos="t" align="ctr" overlay="0">
      <cx:tx>
        <cx:txData>
          <cx:v>Box plot for Securify analysis execution time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Box plot for Securify analysis execution time</a:t>
          </a:r>
        </a:p>
      </cx:txPr>
    </cx:title>
    <cx:plotArea>
      <cx:plotAreaRegion>
        <cx:series layoutId="boxWhisker" uniqueId="{319F51E6-A2BE-4B90-B8A7-D8A89D7A0805}">
          <cx:tx>
            <cx:txData>
              <cx:f>_xlchart.v1.4</cx:f>
              <cx:v>Securify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Time [ms]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Time [ms]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_xlchart.v1.7</cx:f>
      </cx:numDim>
    </cx:data>
  </cx:chartData>
  <cx:chart>
    <cx:title pos="t" align="ctr" overlay="0">
      <cx:tx>
        <cx:txData>
          <cx:v>Box plot for Aderyn analysis execution time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Box plot for Aderyn analysis execution time</a:t>
          </a:r>
        </a:p>
      </cx:txPr>
    </cx:title>
    <cx:plotArea>
      <cx:plotAreaRegion>
        <cx:series layoutId="boxWhisker" uniqueId="{5FB92329-53FB-4354-ACA1-9492EC78BCFE}">
          <cx:tx>
            <cx:txData>
              <cx:f>_xlchart.v1.6</cx:f>
              <cx:v>Aderyn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Time [ms]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Time [ms]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_xlchart.v1.9</cx:f>
      </cx:numDim>
    </cx:data>
  </cx:chartData>
  <cx:chart>
    <cx:title pos="t" align="ctr" overlay="0">
      <cx:tx>
        <cx:txData>
          <cx:v>Box plot for Solhint analysis execution time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Box plot for Solhint analysis execution time</a:t>
          </a:r>
        </a:p>
      </cx:txPr>
    </cx:title>
    <cx:plotArea>
      <cx:plotAreaRegion>
        <cx:series layoutId="boxWhisker" uniqueId="{2180614D-7382-4A07-BFEC-05D5845364B7}">
          <cx:tx>
            <cx:txData>
              <cx:f>_xlchart.v1.8</cx:f>
              <cx:v>Solhint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Time [ms]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Time [ms]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_xlchart.v1.11</cx:f>
      </cx:numDim>
    </cx:data>
  </cx:chartData>
  <cx:chart>
    <cx:title pos="t" align="ctr" overlay="0">
      <cx:tx>
        <cx:txData>
          <cx:v>Box plot for Mythril analysis execution time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Box plot for Mythril analysis execution time</a:t>
          </a:r>
        </a:p>
      </cx:txPr>
    </cx:title>
    <cx:plotArea>
      <cx:plotAreaRegion>
        <cx:series layoutId="boxWhisker" uniqueId="{E09EFC35-D18C-4B6F-95D1-CB46F138E5AA}">
          <cx:tx>
            <cx:txData>
              <cx:f>_xlchart.v1.10</cx:f>
              <cx:v>Mythril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Time [ms]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Time [ms]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_xlchart.v1.15</cx:f>
      </cx:numDim>
    </cx:data>
    <cx:data id="1">
      <cx:numDim type="val">
        <cx:f dir="row">_xlchart.v1.16</cx:f>
      </cx:numDim>
    </cx:data>
    <cx:data id="2">
      <cx:numDim type="val">
        <cx:f dir="row">_xlchart.v1.17</cx:f>
      </cx:numDim>
    </cx:data>
    <cx:data id="3">
      <cx:numDim type="val">
        <cx:f dir="row">_xlchart.v1.18</cx:f>
      </cx:numDim>
    </cx:data>
  </cx:chartData>
  <cx:chart>
    <cx:title pos="t" align="ctr" overlay="0">
      <cx:tx>
        <cx:txData>
          <cx:v>Box plot for analysis execution time (Slither, SmartFast, Securify, Aderyn)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Box plot for analysis execution time (Slither, SmartFast, Securify, Aderyn)</a:t>
          </a:r>
        </a:p>
      </cx:txPr>
    </cx:title>
    <cx:plotArea>
      <cx:plotAreaRegion>
        <cx:series layoutId="boxWhisker" uniqueId="{00000000-B766-4660-82AF-33198FFFC7E5}" formatIdx="0">
          <cx:tx>
            <cx:txData>
              <cx:f/>
              <cx:v>Slither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B766-4660-82AF-33198FFFC7E5}" formatIdx="1">
          <cx:tx>
            <cx:txData>
              <cx:f>_xlchart.v1.12</cx:f>
              <cx:v>SmartFast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B766-4660-82AF-33198FFFC7E5}" formatIdx="2">
          <cx:tx>
            <cx:txData>
              <cx:f>_xlchart.v1.13</cx:f>
              <cx:v>Securify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B766-4660-82AF-33198FFFC7E5}" formatIdx="3">
          <cx:tx>
            <cx:txData>
              <cx:f>_xlchart.v1.14</cx:f>
              <cx:v>Aderyn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Time [ms]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Time [ms]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hartEx8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 dir="row">_xlchart.v1.19</cx:f>
      </cx:numDim>
    </cx:data>
    <cx:data id="1">
      <cx:numDim type="val">
        <cx:f dir="row">_xlchart.v1.20</cx:f>
      </cx:numDim>
    </cx:data>
    <cx:data id="2">
      <cx:numDim type="val">
        <cx:f dir="row">_xlchart.v1.21</cx:f>
      </cx:numDim>
    </cx:data>
    <cx:data id="3">
      <cx:numDim type="val">
        <cx:f dir="row">_xlchart.v1.22</cx:f>
      </cx:numDim>
    </cx:data>
    <cx:data id="4">
      <cx:numDim type="val">
        <cx:f dir="row">_xlchart.v1.23</cx:f>
      </cx:numDim>
    </cx:data>
    <cx:data id="5">
      <cx:numDim type="val">
        <cx:f dir="row">_xlchart.v1.24</cx:f>
      </cx:numDim>
    </cx:data>
  </cx:chartData>
  <cx:chart>
    <cx:title pos="t" align="ctr" overlay="0">
      <cx:tx>
        <cx:txData>
          <cx:v>Box plot for analysis execution time for all selected tools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>
              <a:solidFill>
                <a:srgbClr val="7F7F7F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r>
            <a:t>Box plot for analysis execution time for all selected tools</a:t>
          </a:r>
        </a:p>
      </cx:txPr>
    </cx:title>
    <cx:plotArea>
      <cx:plotAreaRegion>
        <cx:series layoutId="boxWhisker" uniqueId="{0000000B-8E47-4E29-AD20-B8713F3EDE1D}">
          <cx:tx>
            <cx:txData>
              <cx:f/>
              <cx:v>Slither</cx:v>
            </cx:txData>
          </cx:tx>
          <cx:dataId val="0"/>
          <cx:layoutPr>
            <cx:visibility meanLine="0" meanMarker="1" nonoutliers="1" outliers="1"/>
            <cx:statistics quartileMethod="exclusive"/>
          </cx:layoutPr>
        </cx:series>
        <cx:series layoutId="boxWhisker" uniqueId="{0000000C-8E47-4E29-AD20-B8713F3EDE1D}">
          <cx:tx>
            <cx:txData>
              <cx:f/>
              <cx:v>SmartFast</cx:v>
            </cx:txData>
          </cx:tx>
          <cx:dataId val="1"/>
          <cx:layoutPr>
            <cx:visibility meanLine="0" meanMarker="1" nonoutliers="1" outliers="1"/>
            <cx:statistics quartileMethod="exclusive"/>
          </cx:layoutPr>
        </cx:series>
        <cx:series layoutId="boxWhisker" uniqueId="{0000000D-8E47-4E29-AD20-B8713F3EDE1D}">
          <cx:tx>
            <cx:txData>
              <cx:f/>
              <cx:v>Securify</cx:v>
            </cx:txData>
          </cx:tx>
          <cx:dataId val="2"/>
          <cx:layoutPr>
            <cx:visibility meanLine="0" meanMarker="1" nonoutliers="1" outliers="1"/>
            <cx:statistics quartileMethod="exclusive"/>
          </cx:layoutPr>
        </cx:series>
        <cx:series layoutId="boxWhisker" uniqueId="{0000000E-8E47-4E29-AD20-B8713F3EDE1D}">
          <cx:tx>
            <cx:txData>
              <cx:f/>
              <cx:v>Aderyn</cx:v>
            </cx:txData>
          </cx:tx>
          <cx:dataId val="3"/>
          <cx:layoutPr>
            <cx:visibility meanLine="0" meanMarker="1" nonoutliers="1" outliers="1"/>
            <cx:statistics quartileMethod="exclusive"/>
          </cx:layoutPr>
        </cx:series>
        <cx:series layoutId="boxWhisker" uniqueId="{0000000F-8E47-4E29-AD20-B8713F3EDE1D}">
          <cx:tx>
            <cx:txData>
              <cx:f/>
              <cx:v>Solhint</cx:v>
            </cx:txData>
          </cx:tx>
          <cx:dataId val="4"/>
          <cx:layoutPr>
            <cx:visibility meanLine="0" meanMarker="1" nonoutliers="1" outliers="1"/>
            <cx:statistics quartileMethod="exclusive"/>
          </cx:layoutPr>
        </cx:series>
        <cx:series layoutId="boxWhisker" uniqueId="{00000010-8E47-4E29-AD20-B8713F3EDE1D}">
          <cx:tx>
            <cx:txData>
              <cx:f/>
              <cx:v>Mythril</cx:v>
            </cx:txData>
          </cx:tx>
          <cx:dataId val="5"/>
          <cx:layoutPr>
            <cx:visibility meanLine="0" meanMarker="1" nonoutliers="1" outliers="1"/>
            <cx:statistics quartileMethod="exclusive"/>
          </cx:layoutPr>
        </cx:series>
      </cx:plotAreaRegion>
      <cx:axis id="0" hidden="1">
        <cx:catScaling gapWidth="1"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title>
          <cx:tx>
            <cx:txData>
              <cx:v>Time [ms]</cx:v>
            </cx:txData>
          </cx:tx>
          <cx:txPr>
            <a:bodyPr vertOverflow="overflow" horzOverflow="overflow" wrap="square" lIns="0" tIns="0" rIns="0" bIns="0"/>
            <a:lstStyle/>
            <a:p>
              <a:pPr algn="ctr" rtl="0">
                <a:defRPr sz="900" b="0" i="0">
                  <a:solidFill>
                    <a:srgbClr val="7F7F7F"/>
                  </a:solidFill>
                  <a:latin typeface="Calibri" panose="020F0502020204030204" pitchFamily="34" charset="0"/>
                  <a:ea typeface="Calibri" panose="020F0502020204030204" pitchFamily="34" charset="0"/>
                  <a:cs typeface="Calibri" panose="020F0502020204030204" pitchFamily="34" charset="0"/>
                </a:defRPr>
              </a:pPr>
              <a:r>
                <a:t>Time [ms]</a:t>
              </a:r>
            </a:p>
          </cx:txPr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  <cx:legend pos="t" align="ctr" overlay="0">
      <cx:txPr>
        <a:bodyPr vertOverflow="overflow" horzOverflow="overflow" wrap="square" lIns="0" tIns="0" rIns="0" bIns="0"/>
        <a:lstStyle/>
        <a:p>
          <a:pPr algn="ctr" rtl="0">
            <a:defRPr sz="1200" b="0" i="0">
              <a:solidFill>
                <a:srgbClr val="000000"/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/>
        </a:p>
      </cx:txPr>
    </cx:legend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8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8.xml"/><Relationship Id="rId3" Type="http://schemas.microsoft.com/office/2014/relationships/chartEx" Target="../charts/chartEx3.xml"/><Relationship Id="rId7" Type="http://schemas.microsoft.com/office/2014/relationships/chartEx" Target="../charts/chartEx7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microsoft.com/office/2014/relationships/chartEx" Target="../charts/chartEx6.xml"/><Relationship Id="rId5" Type="http://schemas.microsoft.com/office/2014/relationships/chartEx" Target="../charts/chartEx5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180975</xdr:colOff>
      <xdr:row>9</xdr:row>
      <xdr:rowOff>0</xdr:rowOff>
    </xdr:from>
    <xdr:to>
      <xdr:col>7</xdr:col>
      <xdr:colOff>447675</xdr:colOff>
      <xdr:row>23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Wykres 3">
              <a:extLst>
                <a:ext uri="{FF2B5EF4-FFF2-40B4-BE49-F238E27FC236}">
                  <a16:creationId xmlns:a16="http://schemas.microsoft.com/office/drawing/2014/main" id="{9813CF5C-2BBA-297B-3D17-CBCB42B985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8</xdr:col>
      <xdr:colOff>180975</xdr:colOff>
      <xdr:row>8</xdr:row>
      <xdr:rowOff>142875</xdr:rowOff>
    </xdr:from>
    <xdr:to>
      <xdr:col>15</xdr:col>
      <xdr:colOff>285750</xdr:colOff>
      <xdr:row>23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Wykres 4">
              <a:extLst>
                <a:ext uri="{FF2B5EF4-FFF2-40B4-BE49-F238E27FC236}">
                  <a16:creationId xmlns:a16="http://schemas.microsoft.com/office/drawing/2014/main" id="{0CCA5E12-7013-9F5D-7565-8126700783FB}"/>
                </a:ext>
                <a:ext uri="{147F2762-F138-4A5C-976F-8EAC2B608ADB}">
                  <a16:predDERef xmlns:a16="http://schemas.microsoft.com/office/drawing/2014/main" pred="{9813CF5C-2BBA-297B-3D17-CBCB42B985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15</xdr:col>
      <xdr:colOff>495300</xdr:colOff>
      <xdr:row>9</xdr:row>
      <xdr:rowOff>28575</xdr:rowOff>
    </xdr:from>
    <xdr:to>
      <xdr:col>23</xdr:col>
      <xdr:colOff>190500</xdr:colOff>
      <xdr:row>23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6" name="Wykres 5">
              <a:extLst>
                <a:ext uri="{FF2B5EF4-FFF2-40B4-BE49-F238E27FC236}">
                  <a16:creationId xmlns:a16="http://schemas.microsoft.com/office/drawing/2014/main" id="{BACEC401-42B8-1C99-FDEA-E8D551280CFA}"/>
                </a:ext>
                <a:ext uri="{147F2762-F138-4A5C-976F-8EAC2B608ADB}">
                  <a16:predDERef xmlns:a16="http://schemas.microsoft.com/office/drawing/2014/main" pred="{0CCA5E12-7013-9F5D-7565-8126700783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0</xdr:col>
      <xdr:colOff>219075</xdr:colOff>
      <xdr:row>24</xdr:row>
      <xdr:rowOff>57150</xdr:rowOff>
    </xdr:from>
    <xdr:to>
      <xdr:col>7</xdr:col>
      <xdr:colOff>485775</xdr:colOff>
      <xdr:row>38</xdr:row>
      <xdr:rowOff>133350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Wykres 6">
              <a:extLst>
                <a:ext uri="{FF2B5EF4-FFF2-40B4-BE49-F238E27FC236}">
                  <a16:creationId xmlns:a16="http://schemas.microsoft.com/office/drawing/2014/main" id="{79A47937-8698-4B9A-820F-F5F0E6101F81}"/>
                </a:ext>
                <a:ext uri="{147F2762-F138-4A5C-976F-8EAC2B608ADB}">
                  <a16:predDERef xmlns:a16="http://schemas.microsoft.com/office/drawing/2014/main" pred="{BACEC401-42B8-1C99-FDEA-E8D551280CF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8</xdr:col>
      <xdr:colOff>76200</xdr:colOff>
      <xdr:row>24</xdr:row>
      <xdr:rowOff>28575</xdr:rowOff>
    </xdr:from>
    <xdr:to>
      <xdr:col>15</xdr:col>
      <xdr:colOff>180975</xdr:colOff>
      <xdr:row>38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8" name="Wykres 7">
              <a:extLst>
                <a:ext uri="{FF2B5EF4-FFF2-40B4-BE49-F238E27FC236}">
                  <a16:creationId xmlns:a16="http://schemas.microsoft.com/office/drawing/2014/main" id="{5E608F53-AE2F-D322-E5E1-E724D9C213D9}"/>
                </a:ext>
                <a:ext uri="{147F2762-F138-4A5C-976F-8EAC2B608ADB}">
                  <a16:predDERef xmlns:a16="http://schemas.microsoft.com/office/drawing/2014/main" pred="{79A47937-8698-4B9A-820F-F5F0E6101F8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15</xdr:col>
      <xdr:colOff>533400</xdr:colOff>
      <xdr:row>24</xdr:row>
      <xdr:rowOff>76200</xdr:rowOff>
    </xdr:from>
    <xdr:to>
      <xdr:col>23</xdr:col>
      <xdr:colOff>228600</xdr:colOff>
      <xdr:row>38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Wykres 8">
              <a:extLst>
                <a:ext uri="{FF2B5EF4-FFF2-40B4-BE49-F238E27FC236}">
                  <a16:creationId xmlns:a16="http://schemas.microsoft.com/office/drawing/2014/main" id="{FA329FEE-6808-BD75-A5DA-AB9CACDADC8C}"/>
                </a:ext>
                <a:ext uri="{147F2762-F138-4A5C-976F-8EAC2B608ADB}">
                  <a16:predDERef xmlns:a16="http://schemas.microsoft.com/office/drawing/2014/main" pred="{5E608F53-AE2F-D322-E5E1-E724D9C213D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6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24</xdr:col>
      <xdr:colOff>504825</xdr:colOff>
      <xdr:row>7</xdr:row>
      <xdr:rowOff>28575</xdr:rowOff>
    </xdr:from>
    <xdr:to>
      <xdr:col>35</xdr:col>
      <xdr:colOff>66675</xdr:colOff>
      <xdr:row>27</xdr:row>
      <xdr:rowOff>85725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0" name="Wykres 9">
              <a:extLst>
                <a:ext uri="{FF2B5EF4-FFF2-40B4-BE49-F238E27FC236}">
                  <a16:creationId xmlns:a16="http://schemas.microsoft.com/office/drawing/2014/main" id="{F89D76FF-FC6E-FD83-2357-2A65790BDEE6}"/>
                </a:ext>
                <a:ext uri="{147F2762-F138-4A5C-976F-8EAC2B608ADB}">
                  <a16:predDERef xmlns:a16="http://schemas.microsoft.com/office/drawing/2014/main" pred="{FA329FEE-6808-BD75-A5DA-AB9CACDADC8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  <xdr:twoCellAnchor>
    <xdr:from>
      <xdr:col>36</xdr:col>
      <xdr:colOff>76200</xdr:colOff>
      <xdr:row>1</xdr:row>
      <xdr:rowOff>66675</xdr:rowOff>
    </xdr:from>
    <xdr:to>
      <xdr:col>45</xdr:col>
      <xdr:colOff>371475</xdr:colOff>
      <xdr:row>21</xdr:row>
      <xdr:rowOff>28575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457172DA-4568-5860-AE92-04F019EAD2B7}"/>
                </a:ext>
                <a:ext uri="{147F2762-F138-4A5C-976F-8EAC2B608ADB}">
                  <a16:predDERef xmlns:a16="http://schemas.microsoft.com/office/drawing/2014/main" pred="{F89D76FF-FC6E-FD83-2357-2A65790BDEE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851CA-64E7-4061-BB6C-95E6408893BA}">
  <dimension ref="A1:Y84"/>
  <sheetViews>
    <sheetView tabSelected="1" workbookViewId="0">
      <selection activeCell="B87" sqref="B86:F87"/>
    </sheetView>
  </sheetViews>
  <sheetFormatPr defaultRowHeight="15"/>
  <cols>
    <col min="1" max="1" width="11.85546875" bestFit="1" customWidth="1"/>
    <col min="2" max="2" width="22.7109375" bestFit="1" customWidth="1"/>
    <col min="3" max="3" width="15.85546875" bestFit="1" customWidth="1"/>
    <col min="4" max="4" width="36.28515625" bestFit="1" customWidth="1"/>
    <col min="6" max="6" width="11.85546875" bestFit="1" customWidth="1"/>
    <col min="7" max="7" width="17" bestFit="1" customWidth="1"/>
    <col min="8" max="8" width="15.85546875" bestFit="1" customWidth="1"/>
    <col min="10" max="10" width="17.28515625" bestFit="1" customWidth="1"/>
    <col min="11" max="11" width="36.5703125" bestFit="1" customWidth="1"/>
    <col min="12" max="12" width="15.7109375" bestFit="1" customWidth="1"/>
    <col min="14" max="14" width="36.5703125" bestFit="1" customWidth="1"/>
    <col min="15" max="15" width="38.85546875" customWidth="1"/>
    <col min="16" max="16" width="16.85546875" bestFit="1" customWidth="1"/>
    <col min="19" max="19" width="11.5703125" bestFit="1" customWidth="1"/>
    <col min="20" max="20" width="15.7109375" bestFit="1" customWidth="1"/>
    <col min="22" max="22" width="9.7109375" bestFit="1" customWidth="1"/>
  </cols>
  <sheetData>
    <row r="1" spans="1:25" ht="29.25">
      <c r="A1" s="13" t="s">
        <v>0</v>
      </c>
      <c r="B1" s="13"/>
      <c r="C1" s="13"/>
      <c r="F1" s="13" t="s">
        <v>1</v>
      </c>
      <c r="G1" s="13"/>
      <c r="H1" s="13"/>
      <c r="J1" s="13" t="s">
        <v>2</v>
      </c>
      <c r="K1" s="13"/>
      <c r="N1" s="4" t="s">
        <v>3</v>
      </c>
    </row>
    <row r="2" spans="1:25">
      <c r="A2" s="2" t="s">
        <v>4</v>
      </c>
      <c r="B2" s="2" t="s">
        <v>5</v>
      </c>
      <c r="C2" s="2" t="s">
        <v>6</v>
      </c>
      <c r="F2" s="2" t="s">
        <v>4</v>
      </c>
      <c r="G2" s="2" t="s">
        <v>5</v>
      </c>
      <c r="H2" s="2" t="s">
        <v>6</v>
      </c>
      <c r="J2" s="2" t="s">
        <v>4</v>
      </c>
      <c r="K2" s="2" t="s">
        <v>7</v>
      </c>
      <c r="N2" s="1" t="s">
        <v>8</v>
      </c>
      <c r="O2" s="1" t="s">
        <v>9</v>
      </c>
      <c r="P2" s="1" t="s">
        <v>10</v>
      </c>
      <c r="S2" t="s">
        <v>4</v>
      </c>
      <c r="T2" t="s">
        <v>0</v>
      </c>
      <c r="U2" t="s">
        <v>1</v>
      </c>
      <c r="V2" t="s">
        <v>11</v>
      </c>
      <c r="W2" t="s">
        <v>12</v>
      </c>
      <c r="X2" t="s">
        <v>13</v>
      </c>
      <c r="Y2" t="s">
        <v>14</v>
      </c>
    </row>
    <row r="3" spans="1:25">
      <c r="A3" s="1" t="s">
        <v>15</v>
      </c>
      <c r="B3" s="5" t="s">
        <v>16</v>
      </c>
      <c r="C3" s="5" t="s">
        <v>16</v>
      </c>
      <c r="F3" s="1" t="s">
        <v>17</v>
      </c>
      <c r="G3" s="1" t="s">
        <v>16</v>
      </c>
      <c r="H3" s="1" t="s">
        <v>16</v>
      </c>
      <c r="J3" s="6" t="s">
        <v>18</v>
      </c>
      <c r="K3" s="6" t="s">
        <v>19</v>
      </c>
      <c r="N3" s="14" t="s">
        <v>1</v>
      </c>
      <c r="O3" s="1" t="s">
        <v>20</v>
      </c>
      <c r="P3" s="1" t="s">
        <v>17</v>
      </c>
      <c r="S3" t="s">
        <v>18</v>
      </c>
      <c r="T3" t="s">
        <v>21</v>
      </c>
      <c r="U3" t="s">
        <v>21</v>
      </c>
      <c r="V3" t="s">
        <v>21</v>
      </c>
      <c r="W3" t="s">
        <v>21</v>
      </c>
      <c r="X3" t="s">
        <v>21</v>
      </c>
      <c r="Y3" t="s">
        <v>22</v>
      </c>
    </row>
    <row r="4" spans="1:25">
      <c r="A4" s="1"/>
      <c r="B4" s="5"/>
      <c r="C4" s="5"/>
      <c r="F4" s="1"/>
      <c r="G4" s="1"/>
      <c r="H4" s="1"/>
      <c r="J4" s="1" t="s">
        <v>23</v>
      </c>
      <c r="K4" s="1" t="s">
        <v>24</v>
      </c>
      <c r="N4" s="15"/>
      <c r="O4" s="1"/>
      <c r="P4" s="1"/>
      <c r="S4" t="s">
        <v>15</v>
      </c>
      <c r="T4" t="s">
        <v>22</v>
      </c>
      <c r="U4" t="s">
        <v>21</v>
      </c>
      <c r="V4" t="s">
        <v>22</v>
      </c>
      <c r="W4" t="s">
        <v>21</v>
      </c>
      <c r="X4" t="s">
        <v>21</v>
      </c>
      <c r="Y4" t="s">
        <v>21</v>
      </c>
    </row>
    <row r="5" spans="1:25">
      <c r="A5" s="1" t="s">
        <v>25</v>
      </c>
      <c r="B5" s="1" t="s">
        <v>26</v>
      </c>
      <c r="C5" s="1" t="s">
        <v>26</v>
      </c>
      <c r="F5" s="1" t="s">
        <v>25</v>
      </c>
      <c r="G5" s="1" t="s">
        <v>16</v>
      </c>
      <c r="H5" s="1" t="s">
        <v>16</v>
      </c>
      <c r="J5" s="6" t="s">
        <v>27</v>
      </c>
      <c r="K5" s="6" t="s">
        <v>19</v>
      </c>
      <c r="N5" s="15"/>
      <c r="O5" s="1" t="s">
        <v>28</v>
      </c>
      <c r="P5" s="1" t="s">
        <v>25</v>
      </c>
      <c r="S5" t="s">
        <v>17</v>
      </c>
      <c r="T5" t="s">
        <v>21</v>
      </c>
      <c r="U5" t="s">
        <v>22</v>
      </c>
      <c r="V5" t="s">
        <v>22</v>
      </c>
      <c r="W5" t="s">
        <v>21</v>
      </c>
      <c r="X5" t="s">
        <v>21</v>
      </c>
      <c r="Y5" t="s">
        <v>22</v>
      </c>
    </row>
    <row r="6" spans="1:25">
      <c r="A6" s="1" t="s">
        <v>29</v>
      </c>
      <c r="B6" s="1" t="s">
        <v>30</v>
      </c>
      <c r="C6" s="1" t="s">
        <v>30</v>
      </c>
      <c r="F6" s="1" t="s">
        <v>31</v>
      </c>
      <c r="G6" s="1" t="s">
        <v>16</v>
      </c>
      <c r="H6" s="1" t="s">
        <v>16</v>
      </c>
      <c r="J6" s="1" t="s">
        <v>32</v>
      </c>
      <c r="K6" s="1" t="s">
        <v>24</v>
      </c>
      <c r="N6" s="15"/>
      <c r="O6" s="1" t="s">
        <v>33</v>
      </c>
      <c r="P6" s="1" t="s">
        <v>31</v>
      </c>
      <c r="S6" t="s">
        <v>23</v>
      </c>
      <c r="T6" t="s">
        <v>21</v>
      </c>
      <c r="U6" t="s">
        <v>21</v>
      </c>
      <c r="V6" t="s">
        <v>34</v>
      </c>
      <c r="W6" t="s">
        <v>22</v>
      </c>
      <c r="X6" t="s">
        <v>22</v>
      </c>
      <c r="Y6" t="s">
        <v>21</v>
      </c>
    </row>
    <row r="7" spans="1:25">
      <c r="A7" s="1" t="s">
        <v>31</v>
      </c>
      <c r="B7" s="5" t="s">
        <v>16</v>
      </c>
      <c r="C7" s="5" t="s">
        <v>16</v>
      </c>
      <c r="F7" s="1" t="s">
        <v>35</v>
      </c>
      <c r="G7" s="1" t="s">
        <v>16</v>
      </c>
      <c r="H7" s="1" t="s">
        <v>16</v>
      </c>
      <c r="J7" s="1" t="s">
        <v>36</v>
      </c>
      <c r="K7" s="1" t="s">
        <v>19</v>
      </c>
      <c r="N7" s="15"/>
      <c r="O7" s="1" t="s">
        <v>37</v>
      </c>
      <c r="P7" s="1" t="s">
        <v>35</v>
      </c>
      <c r="S7" t="s">
        <v>25</v>
      </c>
      <c r="T7" t="s">
        <v>34</v>
      </c>
      <c r="U7" t="s">
        <v>22</v>
      </c>
      <c r="V7" t="s">
        <v>22</v>
      </c>
      <c r="W7" t="s">
        <v>22</v>
      </c>
      <c r="X7" t="s">
        <v>22</v>
      </c>
      <c r="Y7" t="s">
        <v>34</v>
      </c>
    </row>
    <row r="8" spans="1:25">
      <c r="A8" s="1" t="s">
        <v>35</v>
      </c>
      <c r="B8" s="5" t="s">
        <v>16</v>
      </c>
      <c r="C8" s="5" t="s">
        <v>16</v>
      </c>
      <c r="F8" s="1" t="s">
        <v>38</v>
      </c>
      <c r="G8" s="1" t="s">
        <v>16</v>
      </c>
      <c r="H8" s="1" t="s">
        <v>30</v>
      </c>
      <c r="J8" s="1" t="s">
        <v>39</v>
      </c>
      <c r="K8" s="1" t="s">
        <v>19</v>
      </c>
      <c r="N8" s="15"/>
      <c r="O8" s="1" t="s">
        <v>40</v>
      </c>
      <c r="P8" s="1" t="s">
        <v>38</v>
      </c>
      <c r="S8" t="s">
        <v>31</v>
      </c>
      <c r="T8" t="s">
        <v>22</v>
      </c>
      <c r="U8" t="s">
        <v>22</v>
      </c>
      <c r="V8" t="s">
        <v>22</v>
      </c>
      <c r="W8" t="s">
        <v>22</v>
      </c>
      <c r="X8" t="s">
        <v>21</v>
      </c>
      <c r="Y8" t="s">
        <v>21</v>
      </c>
    </row>
    <row r="9" spans="1:25">
      <c r="A9" s="1" t="s">
        <v>41</v>
      </c>
      <c r="B9" s="5" t="s">
        <v>16</v>
      </c>
      <c r="C9" s="5" t="s">
        <v>16</v>
      </c>
      <c r="F9" s="1" t="s">
        <v>42</v>
      </c>
      <c r="G9" s="1" t="s">
        <v>16</v>
      </c>
      <c r="H9" s="1" t="s">
        <v>16</v>
      </c>
      <c r="J9" s="1" t="s">
        <v>43</v>
      </c>
      <c r="K9" s="1" t="s">
        <v>44</v>
      </c>
      <c r="N9" s="15"/>
      <c r="O9" s="1" t="s">
        <v>45</v>
      </c>
      <c r="P9" s="1" t="s">
        <v>42</v>
      </c>
      <c r="S9" t="s">
        <v>35</v>
      </c>
      <c r="T9" t="s">
        <v>22</v>
      </c>
      <c r="U9" t="s">
        <v>22</v>
      </c>
      <c r="V9" t="s">
        <v>22</v>
      </c>
      <c r="W9" t="s">
        <v>34</v>
      </c>
      <c r="X9" t="s">
        <v>22</v>
      </c>
      <c r="Y9" t="s">
        <v>22</v>
      </c>
    </row>
    <row r="10" spans="1:25" ht="29.25">
      <c r="A10" s="1" t="s">
        <v>42</v>
      </c>
      <c r="B10" s="1" t="s">
        <v>26</v>
      </c>
      <c r="C10" s="1" t="s">
        <v>26</v>
      </c>
      <c r="F10" s="1" t="s">
        <v>46</v>
      </c>
      <c r="G10" s="1" t="s">
        <v>30</v>
      </c>
      <c r="H10" s="1" t="s">
        <v>30</v>
      </c>
      <c r="J10" s="1" t="s">
        <v>47</v>
      </c>
      <c r="K10" s="7" t="s">
        <v>48</v>
      </c>
      <c r="N10" s="15"/>
      <c r="O10" s="1" t="s">
        <v>49</v>
      </c>
      <c r="P10" s="1" t="s">
        <v>50</v>
      </c>
      <c r="S10" t="s">
        <v>51</v>
      </c>
      <c r="T10" t="s">
        <v>21</v>
      </c>
      <c r="U10" t="s">
        <v>21</v>
      </c>
      <c r="V10" t="s">
        <v>22</v>
      </c>
      <c r="W10" t="s">
        <v>22</v>
      </c>
      <c r="X10" t="s">
        <v>21</v>
      </c>
      <c r="Y10" t="s">
        <v>21</v>
      </c>
    </row>
    <row r="11" spans="1:25">
      <c r="A11" s="1" t="s">
        <v>52</v>
      </c>
      <c r="B11" s="5" t="s">
        <v>16</v>
      </c>
      <c r="C11" s="5" t="s">
        <v>16</v>
      </c>
      <c r="F11" s="1" t="s">
        <v>50</v>
      </c>
      <c r="G11" s="1" t="s">
        <v>16</v>
      </c>
      <c r="H11" s="1" t="s">
        <v>16</v>
      </c>
      <c r="J11" s="1" t="s">
        <v>53</v>
      </c>
      <c r="K11" s="1" t="s">
        <v>19</v>
      </c>
      <c r="N11" s="15"/>
      <c r="O11" s="1" t="s">
        <v>54</v>
      </c>
      <c r="P11" s="1" t="s">
        <v>55</v>
      </c>
      <c r="S11" t="s">
        <v>38</v>
      </c>
      <c r="T11" t="s">
        <v>21</v>
      </c>
      <c r="U11" t="s">
        <v>22</v>
      </c>
      <c r="V11" t="s">
        <v>22</v>
      </c>
      <c r="W11" t="s">
        <v>22</v>
      </c>
      <c r="X11" t="s">
        <v>21</v>
      </c>
      <c r="Y11" t="s">
        <v>21</v>
      </c>
    </row>
    <row r="12" spans="1:25">
      <c r="A12" s="1" t="s">
        <v>50</v>
      </c>
      <c r="B12" s="5" t="s">
        <v>16</v>
      </c>
      <c r="C12" s="5" t="s">
        <v>16</v>
      </c>
      <c r="F12" s="1" t="s">
        <v>55</v>
      </c>
      <c r="G12" s="1" t="s">
        <v>16</v>
      </c>
      <c r="H12" s="1" t="s">
        <v>16</v>
      </c>
      <c r="J12" s="1" t="s">
        <v>56</v>
      </c>
      <c r="K12" s="1" t="s">
        <v>24</v>
      </c>
      <c r="N12" s="15"/>
      <c r="O12" s="1" t="s">
        <v>57</v>
      </c>
      <c r="P12" s="1" t="s">
        <v>58</v>
      </c>
      <c r="S12" t="s">
        <v>41</v>
      </c>
      <c r="T12" t="s">
        <v>22</v>
      </c>
      <c r="U12" t="s">
        <v>21</v>
      </c>
      <c r="V12" t="s">
        <v>34</v>
      </c>
      <c r="W12" t="s">
        <v>21</v>
      </c>
      <c r="X12" t="s">
        <v>21</v>
      </c>
      <c r="Y12" t="s">
        <v>21</v>
      </c>
    </row>
    <row r="13" spans="1:25">
      <c r="A13" s="1" t="s">
        <v>59</v>
      </c>
      <c r="B13" s="1" t="s">
        <v>26</v>
      </c>
      <c r="C13" s="1" t="s">
        <v>26</v>
      </c>
      <c r="F13" s="1" t="s">
        <v>58</v>
      </c>
      <c r="G13" s="1" t="s">
        <v>16</v>
      </c>
      <c r="H13" s="1" t="s">
        <v>16</v>
      </c>
      <c r="J13" s="1" t="s">
        <v>60</v>
      </c>
      <c r="K13" s="1" t="s">
        <v>19</v>
      </c>
      <c r="N13" s="15"/>
      <c r="O13" s="1" t="s">
        <v>61</v>
      </c>
      <c r="P13" s="1" t="s">
        <v>62</v>
      </c>
      <c r="S13" t="s">
        <v>63</v>
      </c>
      <c r="T13" t="s">
        <v>21</v>
      </c>
      <c r="U13" t="s">
        <v>21</v>
      </c>
      <c r="V13" t="s">
        <v>22</v>
      </c>
      <c r="W13" t="s">
        <v>21</v>
      </c>
      <c r="X13" t="s">
        <v>21</v>
      </c>
      <c r="Y13" t="s">
        <v>22</v>
      </c>
    </row>
    <row r="14" spans="1:25">
      <c r="A14" s="1" t="s">
        <v>58</v>
      </c>
      <c r="B14" s="1" t="s">
        <v>26</v>
      </c>
      <c r="C14" s="1" t="s">
        <v>26</v>
      </c>
      <c r="F14" s="1" t="s">
        <v>62</v>
      </c>
      <c r="G14" s="1" t="s">
        <v>16</v>
      </c>
      <c r="H14" s="1" t="s">
        <v>30</v>
      </c>
      <c r="N14" s="15"/>
      <c r="O14" s="1" t="s">
        <v>64</v>
      </c>
      <c r="P14" s="1" t="s">
        <v>65</v>
      </c>
      <c r="S14" t="s">
        <v>42</v>
      </c>
      <c r="T14" t="s">
        <v>34</v>
      </c>
      <c r="U14" t="s">
        <v>22</v>
      </c>
      <c r="V14" t="s">
        <v>22</v>
      </c>
      <c r="W14" t="s">
        <v>22</v>
      </c>
      <c r="X14" t="s">
        <v>34</v>
      </c>
      <c r="Y14" t="s">
        <v>21</v>
      </c>
    </row>
    <row r="15" spans="1:25">
      <c r="A15" s="1" t="s">
        <v>66</v>
      </c>
      <c r="B15" s="1" t="s">
        <v>30</v>
      </c>
      <c r="C15" s="1" t="s">
        <v>30</v>
      </c>
      <c r="F15" s="1" t="s">
        <v>67</v>
      </c>
      <c r="G15" s="1" t="s">
        <v>30</v>
      </c>
      <c r="H15" s="1" t="s">
        <v>30</v>
      </c>
      <c r="N15" s="15"/>
      <c r="O15" s="8" t="s">
        <v>68</v>
      </c>
      <c r="P15" s="8" t="s">
        <v>47</v>
      </c>
      <c r="S15" t="s">
        <v>52</v>
      </c>
      <c r="T15" t="s">
        <v>22</v>
      </c>
      <c r="U15" t="s">
        <v>21</v>
      </c>
      <c r="V15" t="s">
        <v>21</v>
      </c>
      <c r="W15" t="s">
        <v>21</v>
      </c>
      <c r="X15" t="s">
        <v>22</v>
      </c>
      <c r="Y15" t="s">
        <v>22</v>
      </c>
    </row>
    <row r="16" spans="1:25">
      <c r="A16" s="1" t="s">
        <v>69</v>
      </c>
      <c r="B16" s="1" t="s">
        <v>30</v>
      </c>
      <c r="C16" s="1" t="s">
        <v>30</v>
      </c>
      <c r="F16" s="1" t="s">
        <v>65</v>
      </c>
      <c r="G16" s="1" t="s">
        <v>16</v>
      </c>
      <c r="H16" s="1" t="s">
        <v>16</v>
      </c>
      <c r="N16" s="16" t="s">
        <v>11</v>
      </c>
      <c r="O16" s="1" t="s">
        <v>70</v>
      </c>
      <c r="P16" s="1" t="s">
        <v>15</v>
      </c>
      <c r="S16" t="s">
        <v>50</v>
      </c>
      <c r="T16" t="s">
        <v>22</v>
      </c>
      <c r="U16" t="s">
        <v>22</v>
      </c>
      <c r="V16" t="s">
        <v>22</v>
      </c>
      <c r="W16" t="s">
        <v>22</v>
      </c>
      <c r="X16" t="s">
        <v>34</v>
      </c>
      <c r="Y16" t="s">
        <v>22</v>
      </c>
    </row>
    <row r="17" spans="1:25">
      <c r="F17" s="1" t="s">
        <v>47</v>
      </c>
      <c r="G17" s="1" t="s">
        <v>26</v>
      </c>
      <c r="H17" s="1" t="s">
        <v>26</v>
      </c>
      <c r="N17" s="17"/>
      <c r="O17" s="1" t="s">
        <v>71</v>
      </c>
      <c r="P17" s="1" t="s">
        <v>17</v>
      </c>
      <c r="S17" t="s">
        <v>59</v>
      </c>
      <c r="T17" t="s">
        <v>34</v>
      </c>
      <c r="U17" t="s">
        <v>21</v>
      </c>
      <c r="V17" t="s">
        <v>34</v>
      </c>
      <c r="W17" t="s">
        <v>22</v>
      </c>
      <c r="X17" t="s">
        <v>21</v>
      </c>
      <c r="Y17" t="s">
        <v>34</v>
      </c>
    </row>
    <row r="18" spans="1:25">
      <c r="J18" t="s">
        <v>72</v>
      </c>
      <c r="N18" s="17"/>
      <c r="O18" s="1" t="s">
        <v>28</v>
      </c>
      <c r="P18" s="1" t="s">
        <v>25</v>
      </c>
      <c r="S18" t="s">
        <v>27</v>
      </c>
      <c r="T18" t="s">
        <v>21</v>
      </c>
      <c r="U18" t="s">
        <v>21</v>
      </c>
      <c r="V18" t="s">
        <v>21</v>
      </c>
      <c r="W18" t="s">
        <v>21</v>
      </c>
      <c r="X18" t="s">
        <v>22</v>
      </c>
      <c r="Y18" t="s">
        <v>21</v>
      </c>
    </row>
    <row r="19" spans="1:25">
      <c r="N19" s="17"/>
      <c r="O19" s="1" t="s">
        <v>33</v>
      </c>
      <c r="P19" s="1" t="s">
        <v>31</v>
      </c>
      <c r="S19" t="s">
        <v>32</v>
      </c>
      <c r="T19" t="s">
        <v>21</v>
      </c>
      <c r="U19" t="s">
        <v>21</v>
      </c>
      <c r="V19" t="s">
        <v>34</v>
      </c>
      <c r="W19" t="s">
        <v>21</v>
      </c>
      <c r="X19" t="s">
        <v>21</v>
      </c>
      <c r="Y19" t="s">
        <v>21</v>
      </c>
    </row>
    <row r="20" spans="1:25">
      <c r="A20" s="13" t="s">
        <v>11</v>
      </c>
      <c r="B20" s="13"/>
      <c r="C20" s="13"/>
      <c r="F20" s="13" t="s">
        <v>12</v>
      </c>
      <c r="G20" s="13"/>
      <c r="H20" s="13"/>
      <c r="J20" s="13" t="s">
        <v>13</v>
      </c>
      <c r="K20" s="13"/>
      <c r="L20" s="13"/>
      <c r="N20" s="17"/>
      <c r="O20" s="1" t="s">
        <v>37</v>
      </c>
      <c r="P20" s="1" t="s">
        <v>35</v>
      </c>
      <c r="S20" t="s">
        <v>55</v>
      </c>
      <c r="T20" t="s">
        <v>21</v>
      </c>
      <c r="U20" t="s">
        <v>22</v>
      </c>
      <c r="V20" t="s">
        <v>22</v>
      </c>
      <c r="W20" t="s">
        <v>22</v>
      </c>
      <c r="X20" t="s">
        <v>22</v>
      </c>
      <c r="Y20" t="s">
        <v>21</v>
      </c>
    </row>
    <row r="21" spans="1:25">
      <c r="A21" s="2" t="s">
        <v>4</v>
      </c>
      <c r="B21" s="2" t="s">
        <v>5</v>
      </c>
      <c r="C21" s="2" t="s">
        <v>6</v>
      </c>
      <c r="F21" s="3" t="s">
        <v>4</v>
      </c>
      <c r="G21" s="3" t="s">
        <v>5</v>
      </c>
      <c r="H21" s="3" t="s">
        <v>6</v>
      </c>
      <c r="J21" s="3" t="s">
        <v>4</v>
      </c>
      <c r="K21" s="3" t="s">
        <v>5</v>
      </c>
      <c r="L21" s="3" t="s">
        <v>6</v>
      </c>
      <c r="N21" s="17"/>
      <c r="O21" s="1" t="s">
        <v>73</v>
      </c>
      <c r="P21" s="1" t="s">
        <v>51</v>
      </c>
      <c r="S21" t="s">
        <v>58</v>
      </c>
      <c r="T21" t="s">
        <v>34</v>
      </c>
      <c r="U21" t="s">
        <v>22</v>
      </c>
      <c r="V21" t="s">
        <v>22</v>
      </c>
      <c r="W21" t="s">
        <v>21</v>
      </c>
      <c r="X21" t="s">
        <v>22</v>
      </c>
      <c r="Y21" t="s">
        <v>34</v>
      </c>
    </row>
    <row r="22" spans="1:25">
      <c r="A22" s="1" t="s">
        <v>15</v>
      </c>
      <c r="B22" s="1" t="s">
        <v>16</v>
      </c>
      <c r="C22" s="1" t="s">
        <v>16</v>
      </c>
      <c r="F22" s="1" t="s">
        <v>23</v>
      </c>
      <c r="G22" s="1" t="s">
        <v>16</v>
      </c>
      <c r="H22" s="1" t="s">
        <v>21</v>
      </c>
      <c r="J22" s="1" t="s">
        <v>62</v>
      </c>
      <c r="K22" s="1" t="s">
        <v>16</v>
      </c>
      <c r="L22" s="1" t="s">
        <v>16</v>
      </c>
      <c r="N22" s="17"/>
      <c r="O22" s="1" t="s">
        <v>40</v>
      </c>
      <c r="P22" s="1" t="s">
        <v>38</v>
      </c>
      <c r="S22" t="s">
        <v>36</v>
      </c>
      <c r="T22" t="s">
        <v>21</v>
      </c>
      <c r="U22" t="s">
        <v>21</v>
      </c>
      <c r="V22" t="s">
        <v>21</v>
      </c>
      <c r="W22" t="s">
        <v>21</v>
      </c>
      <c r="X22" t="s">
        <v>21</v>
      </c>
      <c r="Y22" t="s">
        <v>21</v>
      </c>
    </row>
    <row r="23" spans="1:25">
      <c r="A23" s="1" t="s">
        <v>17</v>
      </c>
      <c r="B23" s="1" t="s">
        <v>16</v>
      </c>
      <c r="C23" s="1" t="s">
        <v>16</v>
      </c>
      <c r="F23" s="1" t="s">
        <v>25</v>
      </c>
      <c r="G23" s="1" t="s">
        <v>16</v>
      </c>
      <c r="H23" s="1" t="s">
        <v>21</v>
      </c>
      <c r="J23" s="1" t="s">
        <v>58</v>
      </c>
      <c r="K23" s="1" t="s">
        <v>16</v>
      </c>
      <c r="L23" s="1" t="s">
        <v>16</v>
      </c>
      <c r="N23" s="17"/>
      <c r="O23" s="1" t="s">
        <v>74</v>
      </c>
      <c r="P23" s="1" t="s">
        <v>41</v>
      </c>
      <c r="S23" t="s">
        <v>39</v>
      </c>
      <c r="T23" t="s">
        <v>21</v>
      </c>
      <c r="U23" t="s">
        <v>21</v>
      </c>
      <c r="V23" t="s">
        <v>21</v>
      </c>
      <c r="W23" t="s">
        <v>21</v>
      </c>
      <c r="X23" t="s">
        <v>21</v>
      </c>
      <c r="Y23" t="s">
        <v>21</v>
      </c>
    </row>
    <row r="24" spans="1:25">
      <c r="A24" s="1" t="s">
        <v>23</v>
      </c>
      <c r="B24" s="1" t="s">
        <v>26</v>
      </c>
      <c r="C24" s="1" t="s">
        <v>26</v>
      </c>
      <c r="F24" s="1"/>
      <c r="G24" s="1"/>
      <c r="H24" s="1"/>
      <c r="J24" s="1"/>
      <c r="K24" s="1"/>
      <c r="L24" s="1"/>
      <c r="N24" s="17"/>
      <c r="O24" s="1"/>
      <c r="P24" s="1"/>
      <c r="S24" t="s">
        <v>75</v>
      </c>
      <c r="T24" t="s">
        <v>21</v>
      </c>
      <c r="U24" t="s">
        <v>21</v>
      </c>
      <c r="V24" t="s">
        <v>22</v>
      </c>
      <c r="W24" t="s">
        <v>21</v>
      </c>
      <c r="X24" t="s">
        <v>21</v>
      </c>
      <c r="Y24" t="s">
        <v>21</v>
      </c>
    </row>
    <row r="25" spans="1:25">
      <c r="A25" s="1" t="s">
        <v>25</v>
      </c>
      <c r="B25" s="1" t="s">
        <v>16</v>
      </c>
      <c r="C25" s="1" t="s">
        <v>16</v>
      </c>
      <c r="F25" s="1" t="s">
        <v>29</v>
      </c>
      <c r="G25" s="1" t="s">
        <v>30</v>
      </c>
      <c r="H25" s="1" t="s">
        <v>30</v>
      </c>
      <c r="J25" s="6" t="s">
        <v>52</v>
      </c>
      <c r="K25" s="1" t="s">
        <v>16</v>
      </c>
      <c r="L25" s="1" t="s">
        <v>16</v>
      </c>
      <c r="N25" s="17"/>
      <c r="O25" s="1" t="s">
        <v>76</v>
      </c>
      <c r="P25" s="1" t="s">
        <v>63</v>
      </c>
      <c r="S25" t="s">
        <v>62</v>
      </c>
      <c r="T25" t="s">
        <v>21</v>
      </c>
      <c r="U25" t="s">
        <v>22</v>
      </c>
      <c r="V25" t="s">
        <v>22</v>
      </c>
      <c r="W25" t="s">
        <v>21</v>
      </c>
      <c r="X25" t="s">
        <v>22</v>
      </c>
      <c r="Y25" t="s">
        <v>21</v>
      </c>
    </row>
    <row r="26" spans="1:25">
      <c r="A26" s="1" t="s">
        <v>29</v>
      </c>
      <c r="B26" s="1" t="s">
        <v>26</v>
      </c>
      <c r="C26" s="1" t="s">
        <v>26</v>
      </c>
      <c r="F26" s="1"/>
      <c r="G26" s="1"/>
      <c r="H26" s="1"/>
      <c r="J26" s="6"/>
      <c r="K26" s="1"/>
      <c r="L26" s="1"/>
      <c r="N26" s="17"/>
      <c r="O26" s="1"/>
      <c r="P26" s="1"/>
      <c r="S26" t="s">
        <v>65</v>
      </c>
      <c r="T26" t="s">
        <v>21</v>
      </c>
      <c r="U26" t="s">
        <v>22</v>
      </c>
      <c r="V26" t="s">
        <v>22</v>
      </c>
      <c r="W26" t="s">
        <v>22</v>
      </c>
      <c r="X26" t="s">
        <v>22</v>
      </c>
      <c r="Y26" t="s">
        <v>22</v>
      </c>
    </row>
    <row r="27" spans="1:25">
      <c r="A27" s="1" t="s">
        <v>31</v>
      </c>
      <c r="B27" s="1" t="s">
        <v>16</v>
      </c>
      <c r="C27" s="1" t="s">
        <v>16</v>
      </c>
      <c r="F27" s="1" t="s">
        <v>31</v>
      </c>
      <c r="G27" s="1" t="s">
        <v>16</v>
      </c>
      <c r="H27" s="1" t="s">
        <v>21</v>
      </c>
      <c r="J27" s="6" t="s">
        <v>35</v>
      </c>
      <c r="K27" s="1" t="s">
        <v>16</v>
      </c>
      <c r="L27" s="1" t="s">
        <v>16</v>
      </c>
      <c r="N27" s="17"/>
      <c r="O27" s="1" t="s">
        <v>45</v>
      </c>
      <c r="P27" s="1" t="s">
        <v>42</v>
      </c>
      <c r="S27" t="s">
        <v>43</v>
      </c>
      <c r="T27" t="s">
        <v>21</v>
      </c>
      <c r="U27" t="s">
        <v>21</v>
      </c>
      <c r="V27" t="s">
        <v>21</v>
      </c>
      <c r="W27" t="s">
        <v>34</v>
      </c>
      <c r="X27" t="s">
        <v>21</v>
      </c>
      <c r="Y27" t="s">
        <v>21</v>
      </c>
    </row>
    <row r="28" spans="1:25">
      <c r="A28" s="1" t="s">
        <v>35</v>
      </c>
      <c r="B28" s="1" t="s">
        <v>16</v>
      </c>
      <c r="C28" s="1" t="s">
        <v>16</v>
      </c>
      <c r="F28" s="1" t="s">
        <v>35</v>
      </c>
      <c r="G28" s="1" t="s">
        <v>26</v>
      </c>
      <c r="H28" s="1" t="s">
        <v>21</v>
      </c>
      <c r="J28" s="1" t="s">
        <v>27</v>
      </c>
      <c r="K28" s="1" t="s">
        <v>16</v>
      </c>
      <c r="L28" s="1" t="s">
        <v>16</v>
      </c>
      <c r="N28" s="17"/>
      <c r="O28" s="1" t="s">
        <v>49</v>
      </c>
      <c r="P28" s="1" t="s">
        <v>50</v>
      </c>
      <c r="S28" t="s">
        <v>47</v>
      </c>
      <c r="T28" t="s">
        <v>21</v>
      </c>
      <c r="U28" t="s">
        <v>34</v>
      </c>
      <c r="V28" t="s">
        <v>34</v>
      </c>
      <c r="W28" t="s">
        <v>21</v>
      </c>
      <c r="X28" t="s">
        <v>34</v>
      </c>
      <c r="Y28" t="s">
        <v>21</v>
      </c>
    </row>
    <row r="29" spans="1:25">
      <c r="A29" s="1" t="s">
        <v>51</v>
      </c>
      <c r="B29" s="1" t="s">
        <v>16</v>
      </c>
      <c r="C29" s="1" t="s">
        <v>30</v>
      </c>
      <c r="F29" s="1" t="s">
        <v>51</v>
      </c>
      <c r="G29" s="1" t="s">
        <v>16</v>
      </c>
      <c r="H29" s="1" t="s">
        <v>21</v>
      </c>
      <c r="J29" s="6" t="s">
        <v>25</v>
      </c>
      <c r="K29" s="1" t="s">
        <v>16</v>
      </c>
      <c r="L29" s="1" t="s">
        <v>16</v>
      </c>
      <c r="N29" s="17"/>
      <c r="O29" s="1" t="s">
        <v>77</v>
      </c>
      <c r="P29" s="1" t="s">
        <v>59</v>
      </c>
      <c r="S29" t="s">
        <v>53</v>
      </c>
      <c r="T29" t="s">
        <v>21</v>
      </c>
      <c r="U29" t="s">
        <v>21</v>
      </c>
      <c r="V29" t="s">
        <v>21</v>
      </c>
      <c r="W29" t="s">
        <v>21</v>
      </c>
      <c r="X29" t="s">
        <v>21</v>
      </c>
      <c r="Y29" t="s">
        <v>21</v>
      </c>
    </row>
    <row r="30" spans="1:25">
      <c r="A30" s="1" t="s">
        <v>38</v>
      </c>
      <c r="B30" s="1" t="s">
        <v>16</v>
      </c>
      <c r="C30" s="1" t="s">
        <v>30</v>
      </c>
      <c r="F30" s="1" t="s">
        <v>38</v>
      </c>
      <c r="G30" s="1" t="s">
        <v>16</v>
      </c>
      <c r="H30" s="1" t="s">
        <v>21</v>
      </c>
      <c r="J30" s="6" t="s">
        <v>23</v>
      </c>
      <c r="K30" s="1" t="s">
        <v>16</v>
      </c>
      <c r="L30" s="1" t="s">
        <v>16</v>
      </c>
      <c r="N30" s="17"/>
      <c r="O30" s="1" t="s">
        <v>78</v>
      </c>
      <c r="P30" s="1" t="s">
        <v>32</v>
      </c>
      <c r="S30" t="s">
        <v>56</v>
      </c>
      <c r="T30" t="s">
        <v>21</v>
      </c>
      <c r="U30" t="s">
        <v>21</v>
      </c>
      <c r="V30" t="s">
        <v>34</v>
      </c>
      <c r="W30" t="s">
        <v>21</v>
      </c>
      <c r="X30" t="s">
        <v>21</v>
      </c>
      <c r="Y30" t="s">
        <v>21</v>
      </c>
    </row>
    <row r="31" spans="1:25">
      <c r="A31" s="1" t="s">
        <v>41</v>
      </c>
      <c r="B31" s="1" t="s">
        <v>26</v>
      </c>
      <c r="C31" s="1" t="s">
        <v>26</v>
      </c>
      <c r="F31" s="1" t="s">
        <v>42</v>
      </c>
      <c r="G31" s="1" t="s">
        <v>16</v>
      </c>
      <c r="H31" s="1" t="s">
        <v>21</v>
      </c>
      <c r="J31" s="1" t="s">
        <v>65</v>
      </c>
      <c r="K31" s="1" t="s">
        <v>16</v>
      </c>
      <c r="L31" s="1" t="s">
        <v>16</v>
      </c>
      <c r="N31" s="17"/>
      <c r="O31" s="1" t="s">
        <v>54</v>
      </c>
      <c r="P31" s="1" t="s">
        <v>55</v>
      </c>
      <c r="S31" t="s">
        <v>60</v>
      </c>
      <c r="T31" t="s">
        <v>21</v>
      </c>
      <c r="U31" t="s">
        <v>21</v>
      </c>
      <c r="V31" t="s">
        <v>21</v>
      </c>
      <c r="W31" t="s">
        <v>21</v>
      </c>
      <c r="X31" t="s">
        <v>21</v>
      </c>
      <c r="Y31" t="s">
        <v>21</v>
      </c>
    </row>
    <row r="32" spans="1:25">
      <c r="A32" s="1" t="s">
        <v>63</v>
      </c>
      <c r="B32" s="1" t="s">
        <v>16</v>
      </c>
      <c r="C32" s="1" t="s">
        <v>30</v>
      </c>
      <c r="F32" s="1" t="s">
        <v>46</v>
      </c>
      <c r="G32" s="1" t="s">
        <v>30</v>
      </c>
      <c r="H32" s="1" t="s">
        <v>30</v>
      </c>
      <c r="J32" s="1" t="s">
        <v>55</v>
      </c>
      <c r="K32" s="1" t="s">
        <v>16</v>
      </c>
      <c r="L32" s="1" t="s">
        <v>16</v>
      </c>
      <c r="N32" s="17"/>
      <c r="O32" s="1" t="s">
        <v>57</v>
      </c>
      <c r="P32" s="1" t="s">
        <v>58</v>
      </c>
    </row>
    <row r="33" spans="1:16">
      <c r="A33" s="1" t="s">
        <v>42</v>
      </c>
      <c r="B33" s="1" t="s">
        <v>16</v>
      </c>
      <c r="C33" s="1" t="s">
        <v>16</v>
      </c>
      <c r="F33" s="1" t="s">
        <v>50</v>
      </c>
      <c r="G33" s="1" t="s">
        <v>16</v>
      </c>
      <c r="H33" s="1" t="s">
        <v>21</v>
      </c>
      <c r="J33" s="1" t="s">
        <v>47</v>
      </c>
      <c r="K33" s="1" t="s">
        <v>26</v>
      </c>
      <c r="L33" s="1" t="s">
        <v>26</v>
      </c>
      <c r="N33" s="17"/>
      <c r="O33" s="1" t="s">
        <v>79</v>
      </c>
      <c r="P33" s="1" t="s">
        <v>75</v>
      </c>
    </row>
    <row r="34" spans="1:16">
      <c r="A34" s="1" t="s">
        <v>50</v>
      </c>
      <c r="B34" s="1" t="s">
        <v>16</v>
      </c>
      <c r="C34" s="1" t="s">
        <v>16</v>
      </c>
      <c r="F34" s="1" t="s">
        <v>59</v>
      </c>
      <c r="G34" s="1" t="s">
        <v>16</v>
      </c>
      <c r="H34" s="1" t="s">
        <v>21</v>
      </c>
      <c r="J34" s="6" t="s">
        <v>42</v>
      </c>
      <c r="K34" s="1" t="s">
        <v>26</v>
      </c>
      <c r="L34" s="1" t="s">
        <v>26</v>
      </c>
      <c r="N34" s="17"/>
      <c r="O34" s="1" t="s">
        <v>80</v>
      </c>
      <c r="P34" s="1" t="s">
        <v>62</v>
      </c>
    </row>
    <row r="35" spans="1:16">
      <c r="A35" s="1" t="s">
        <v>59</v>
      </c>
      <c r="B35" s="1" t="s">
        <v>26</v>
      </c>
      <c r="C35" s="1" t="s">
        <v>26</v>
      </c>
      <c r="F35" s="1" t="s">
        <v>55</v>
      </c>
      <c r="G35" s="1" t="s">
        <v>16</v>
      </c>
      <c r="H35" s="1" t="s">
        <v>21</v>
      </c>
      <c r="J35" s="1" t="s">
        <v>50</v>
      </c>
      <c r="K35" s="1" t="s">
        <v>26</v>
      </c>
      <c r="L35" s="1" t="s">
        <v>26</v>
      </c>
      <c r="N35" s="17"/>
      <c r="O35" s="1" t="s">
        <v>64</v>
      </c>
      <c r="P35" s="1" t="s">
        <v>65</v>
      </c>
    </row>
    <row r="36" spans="1:16">
      <c r="A36" s="1" t="s">
        <v>32</v>
      </c>
      <c r="B36" s="1" t="s">
        <v>26</v>
      </c>
      <c r="C36" s="1" t="s">
        <v>30</v>
      </c>
      <c r="F36" s="1" t="s">
        <v>66</v>
      </c>
      <c r="G36" s="1" t="s">
        <v>30</v>
      </c>
      <c r="H36" s="1" t="s">
        <v>30</v>
      </c>
      <c r="N36" s="17"/>
      <c r="O36" s="1" t="s">
        <v>81</v>
      </c>
      <c r="P36" s="1" t="s">
        <v>47</v>
      </c>
    </row>
    <row r="37" spans="1:16">
      <c r="A37" s="1" t="s">
        <v>55</v>
      </c>
      <c r="B37" s="1" t="s">
        <v>16</v>
      </c>
      <c r="C37" s="1" t="s">
        <v>16</v>
      </c>
      <c r="F37" s="1" t="s">
        <v>67</v>
      </c>
      <c r="G37" s="1" t="s">
        <v>30</v>
      </c>
      <c r="H37" s="1" t="s">
        <v>30</v>
      </c>
      <c r="J37" s="13" t="s">
        <v>14</v>
      </c>
      <c r="K37" s="13"/>
      <c r="L37" s="13"/>
      <c r="N37" s="17"/>
      <c r="O37" s="8" t="s">
        <v>82</v>
      </c>
      <c r="P37" s="8" t="s">
        <v>56</v>
      </c>
    </row>
    <row r="38" spans="1:16">
      <c r="A38" s="1" t="s">
        <v>58</v>
      </c>
      <c r="B38" s="1" t="s">
        <v>16</v>
      </c>
      <c r="C38" s="1" t="s">
        <v>16</v>
      </c>
      <c r="F38" s="1" t="s">
        <v>65</v>
      </c>
      <c r="G38" s="1" t="s">
        <v>16</v>
      </c>
      <c r="H38" s="1" t="s">
        <v>21</v>
      </c>
      <c r="J38" s="2" t="s">
        <v>4</v>
      </c>
      <c r="K38" s="2" t="s">
        <v>5</v>
      </c>
      <c r="L38" s="2" t="s">
        <v>6</v>
      </c>
      <c r="N38" s="16" t="s">
        <v>13</v>
      </c>
      <c r="O38" s="1" t="s">
        <v>83</v>
      </c>
      <c r="P38" s="1" t="s">
        <v>23</v>
      </c>
    </row>
    <row r="39" spans="1:16">
      <c r="A39" s="1" t="s">
        <v>66</v>
      </c>
      <c r="B39" s="1" t="s">
        <v>84</v>
      </c>
      <c r="C39" s="1" t="s">
        <v>30</v>
      </c>
      <c r="F39" s="1" t="s">
        <v>43</v>
      </c>
      <c r="G39" s="1" t="s">
        <v>16</v>
      </c>
      <c r="H39" s="1" t="s">
        <v>21</v>
      </c>
      <c r="J39" s="1" t="s">
        <v>17</v>
      </c>
      <c r="K39" s="1" t="s">
        <v>16</v>
      </c>
      <c r="L39" s="1" t="s">
        <v>16</v>
      </c>
      <c r="N39" s="17"/>
      <c r="O39" s="1" t="s">
        <v>85</v>
      </c>
      <c r="P39" s="1" t="s">
        <v>25</v>
      </c>
    </row>
    <row r="40" spans="1:16">
      <c r="A40" s="1" t="s">
        <v>75</v>
      </c>
      <c r="B40" s="1" t="s">
        <v>16</v>
      </c>
      <c r="C40" s="1" t="s">
        <v>16</v>
      </c>
      <c r="F40" s="10"/>
      <c r="G40" s="10"/>
      <c r="H40" s="10"/>
      <c r="J40" s="1"/>
      <c r="K40" s="1"/>
      <c r="L40" s="1"/>
      <c r="N40" s="17"/>
      <c r="O40" s="1"/>
      <c r="P40" s="1"/>
    </row>
    <row r="41" spans="1:16">
      <c r="A41" s="1" t="s">
        <v>62</v>
      </c>
      <c r="B41" s="1" t="s">
        <v>16</v>
      </c>
      <c r="C41" s="1" t="s">
        <v>16</v>
      </c>
      <c r="J41" s="1" t="s">
        <v>35</v>
      </c>
      <c r="K41" s="1" t="s">
        <v>16</v>
      </c>
      <c r="L41" s="1" t="s">
        <v>16</v>
      </c>
      <c r="N41" s="17"/>
      <c r="O41" s="7" t="s">
        <v>86</v>
      </c>
      <c r="P41" s="1" t="s">
        <v>35</v>
      </c>
    </row>
    <row r="42" spans="1:16">
      <c r="A42" s="1" t="s">
        <v>67</v>
      </c>
      <c r="B42" s="1" t="s">
        <v>84</v>
      </c>
      <c r="C42" s="1" t="s">
        <v>30</v>
      </c>
      <c r="J42" s="1" t="s">
        <v>18</v>
      </c>
      <c r="K42" s="1" t="s">
        <v>16</v>
      </c>
      <c r="L42" s="1" t="s">
        <v>16</v>
      </c>
      <c r="N42" s="17"/>
      <c r="O42" s="1" t="s">
        <v>87</v>
      </c>
      <c r="P42" s="1" t="s">
        <v>42</v>
      </c>
    </row>
    <row r="43" spans="1:16">
      <c r="A43" s="1" t="s">
        <v>65</v>
      </c>
      <c r="B43" s="1" t="s">
        <v>16</v>
      </c>
      <c r="C43" s="1" t="s">
        <v>16</v>
      </c>
      <c r="J43" s="1" t="s">
        <v>52</v>
      </c>
      <c r="K43" s="1" t="s">
        <v>16</v>
      </c>
      <c r="L43" s="1" t="s">
        <v>16</v>
      </c>
      <c r="N43" s="17"/>
      <c r="O43" s="1" t="s">
        <v>88</v>
      </c>
      <c r="P43" s="1" t="s">
        <v>52</v>
      </c>
    </row>
    <row r="44" spans="1:16">
      <c r="A44" s="1" t="s">
        <v>47</v>
      </c>
      <c r="B44" s="1" t="s">
        <v>26</v>
      </c>
      <c r="C44" s="1" t="s">
        <v>26</v>
      </c>
      <c r="J44" s="1" t="s">
        <v>63</v>
      </c>
      <c r="K44" s="1" t="s">
        <v>16</v>
      </c>
      <c r="L44" s="1" t="s">
        <v>16</v>
      </c>
      <c r="N44" s="17"/>
      <c r="O44" s="1" t="s">
        <v>89</v>
      </c>
      <c r="P44" s="1" t="s">
        <v>50</v>
      </c>
    </row>
    <row r="45" spans="1:16">
      <c r="A45" s="1" t="s">
        <v>56</v>
      </c>
      <c r="B45" s="1" t="s">
        <v>26</v>
      </c>
      <c r="C45" s="1" t="s">
        <v>26</v>
      </c>
      <c r="J45" s="1" t="s">
        <v>65</v>
      </c>
      <c r="K45" s="1" t="s">
        <v>16</v>
      </c>
      <c r="L45" s="1" t="s">
        <v>16</v>
      </c>
      <c r="N45" s="17"/>
      <c r="O45" s="1" t="s">
        <v>90</v>
      </c>
      <c r="P45" s="1" t="s">
        <v>27</v>
      </c>
    </row>
    <row r="46" spans="1:16">
      <c r="J46" s="1" t="s">
        <v>50</v>
      </c>
      <c r="K46" s="1" t="s">
        <v>16</v>
      </c>
      <c r="L46" s="1" t="s">
        <v>16</v>
      </c>
      <c r="N46" s="17"/>
      <c r="O46" s="1" t="s">
        <v>91</v>
      </c>
      <c r="P46" s="1" t="s">
        <v>55</v>
      </c>
    </row>
    <row r="47" spans="1:16">
      <c r="A47" t="s">
        <v>4</v>
      </c>
      <c r="B47" t="s">
        <v>0</v>
      </c>
      <c r="C47" t="s">
        <v>1</v>
      </c>
      <c r="D47" t="s">
        <v>11</v>
      </c>
      <c r="E47" t="s">
        <v>12</v>
      </c>
      <c r="F47" t="s">
        <v>13</v>
      </c>
      <c r="G47" t="s">
        <v>14</v>
      </c>
      <c r="J47" s="1" t="s">
        <v>25</v>
      </c>
      <c r="K47" s="1" t="s">
        <v>26</v>
      </c>
      <c r="L47" s="1" t="s">
        <v>26</v>
      </c>
      <c r="N47" s="17"/>
      <c r="O47" s="1" t="s">
        <v>92</v>
      </c>
      <c r="P47" s="1" t="s">
        <v>58</v>
      </c>
    </row>
    <row r="48" spans="1:16">
      <c r="A48" t="s">
        <v>18</v>
      </c>
      <c r="B48" t="s">
        <v>26</v>
      </c>
      <c r="C48" t="s">
        <v>26</v>
      </c>
      <c r="D48" t="s">
        <v>26</v>
      </c>
      <c r="E48" t="s">
        <v>26</v>
      </c>
      <c r="F48" t="s">
        <v>26</v>
      </c>
      <c r="G48" t="s">
        <v>16</v>
      </c>
      <c r="J48" s="1" t="s">
        <v>59</v>
      </c>
      <c r="K48" s="1" t="s">
        <v>26</v>
      </c>
      <c r="L48" s="1" t="s">
        <v>26</v>
      </c>
      <c r="N48" s="17"/>
      <c r="O48" s="1" t="s">
        <v>93</v>
      </c>
      <c r="P48" s="1" t="s">
        <v>62</v>
      </c>
    </row>
    <row r="49" spans="1:16">
      <c r="A49" t="s">
        <v>15</v>
      </c>
      <c r="B49" t="s">
        <v>16</v>
      </c>
      <c r="C49" t="s">
        <v>26</v>
      </c>
      <c r="D49" t="s">
        <v>16</v>
      </c>
      <c r="E49" t="s">
        <v>26</v>
      </c>
      <c r="F49" t="s">
        <v>26</v>
      </c>
      <c r="G49" t="s">
        <v>26</v>
      </c>
      <c r="J49" s="1" t="s">
        <v>58</v>
      </c>
      <c r="K49" s="1" t="s">
        <v>26</v>
      </c>
      <c r="L49" s="1" t="s">
        <v>26</v>
      </c>
      <c r="N49" s="17"/>
      <c r="O49" s="1" t="s">
        <v>94</v>
      </c>
      <c r="P49" s="1" t="s">
        <v>65</v>
      </c>
    </row>
    <row r="50" spans="1:16">
      <c r="A50" t="s">
        <v>17</v>
      </c>
      <c r="B50" t="s">
        <v>26</v>
      </c>
      <c r="C50" s="9" t="s">
        <v>16</v>
      </c>
      <c r="D50" t="s">
        <v>16</v>
      </c>
      <c r="E50" t="s">
        <v>26</v>
      </c>
      <c r="F50" t="s">
        <v>26</v>
      </c>
      <c r="G50" t="s">
        <v>16</v>
      </c>
      <c r="N50" s="17"/>
      <c r="O50" s="8" t="s">
        <v>95</v>
      </c>
      <c r="P50" s="8" t="s">
        <v>47</v>
      </c>
    </row>
    <row r="51" spans="1:16">
      <c r="A51" t="s">
        <v>23</v>
      </c>
      <c r="B51" t="s">
        <v>26</v>
      </c>
      <c r="C51" t="s">
        <v>26</v>
      </c>
      <c r="D51" t="s">
        <v>16</v>
      </c>
      <c r="E51" t="s">
        <v>16</v>
      </c>
      <c r="F51" t="s">
        <v>16</v>
      </c>
      <c r="G51" t="s">
        <v>26</v>
      </c>
      <c r="N51" s="16" t="s">
        <v>14</v>
      </c>
      <c r="O51" s="1" t="s">
        <v>96</v>
      </c>
      <c r="P51" s="1" t="s">
        <v>18</v>
      </c>
    </row>
    <row r="52" spans="1:16">
      <c r="A52" t="s">
        <v>25</v>
      </c>
      <c r="B52" t="s">
        <v>16</v>
      </c>
      <c r="C52" s="9" t="s">
        <v>16</v>
      </c>
      <c r="D52" t="s">
        <v>16</v>
      </c>
      <c r="E52" t="s">
        <v>16</v>
      </c>
      <c r="F52" t="s">
        <v>16</v>
      </c>
      <c r="G52" t="s">
        <v>16</v>
      </c>
      <c r="N52" s="17"/>
      <c r="O52" s="1" t="s">
        <v>97</v>
      </c>
      <c r="P52" s="1" t="s">
        <v>17</v>
      </c>
    </row>
    <row r="53" spans="1:16">
      <c r="A53" t="s">
        <v>29</v>
      </c>
      <c r="B53" s="9" t="s">
        <v>16</v>
      </c>
      <c r="C53" t="s">
        <v>26</v>
      </c>
      <c r="D53" t="s">
        <v>16</v>
      </c>
      <c r="E53" t="s">
        <v>16</v>
      </c>
      <c r="F53" t="s">
        <v>26</v>
      </c>
      <c r="G53" t="s">
        <v>26</v>
      </c>
      <c r="N53" s="17"/>
      <c r="O53" s="1" t="s">
        <v>98</v>
      </c>
      <c r="P53" s="1" t="s">
        <v>25</v>
      </c>
    </row>
    <row r="54" spans="1:16">
      <c r="A54" t="s">
        <v>31</v>
      </c>
      <c r="B54" s="9" t="s">
        <v>16</v>
      </c>
      <c r="C54" t="s">
        <v>16</v>
      </c>
      <c r="D54" t="s">
        <v>16</v>
      </c>
      <c r="E54" t="s">
        <v>16</v>
      </c>
      <c r="F54" t="s">
        <v>26</v>
      </c>
      <c r="G54" t="s">
        <v>26</v>
      </c>
      <c r="N54" s="17"/>
      <c r="O54" s="1" t="s">
        <v>99</v>
      </c>
      <c r="P54" s="1" t="s">
        <v>35</v>
      </c>
    </row>
    <row r="55" spans="1:16">
      <c r="A55" t="s">
        <v>35</v>
      </c>
      <c r="B55" t="s">
        <v>16</v>
      </c>
      <c r="C55" t="s">
        <v>16</v>
      </c>
      <c r="D55" t="s">
        <v>16</v>
      </c>
      <c r="E55" t="s">
        <v>16</v>
      </c>
      <c r="F55" t="s">
        <v>16</v>
      </c>
      <c r="G55" t="s">
        <v>16</v>
      </c>
      <c r="N55" s="17"/>
      <c r="O55" s="1" t="s">
        <v>100</v>
      </c>
      <c r="P55" s="1" t="s">
        <v>63</v>
      </c>
    </row>
    <row r="56" spans="1:16">
      <c r="A56" t="s">
        <v>51</v>
      </c>
      <c r="B56" t="s">
        <v>26</v>
      </c>
      <c r="C56" t="s">
        <v>26</v>
      </c>
      <c r="D56" s="9" t="s">
        <v>16</v>
      </c>
      <c r="E56" t="s">
        <v>16</v>
      </c>
      <c r="F56" t="s">
        <v>26</v>
      </c>
      <c r="G56" t="s">
        <v>26</v>
      </c>
      <c r="N56" s="17"/>
      <c r="O56" s="1" t="s">
        <v>101</v>
      </c>
      <c r="P56" s="1" t="s">
        <v>52</v>
      </c>
    </row>
    <row r="57" spans="1:16">
      <c r="A57" t="s">
        <v>38</v>
      </c>
      <c r="B57" t="s">
        <v>26</v>
      </c>
      <c r="C57" s="9" t="s">
        <v>16</v>
      </c>
      <c r="D57" t="s">
        <v>16</v>
      </c>
      <c r="E57" t="s">
        <v>16</v>
      </c>
      <c r="F57" t="s">
        <v>26</v>
      </c>
      <c r="G57" t="s">
        <v>26</v>
      </c>
      <c r="N57" s="17"/>
      <c r="O57" s="1" t="s">
        <v>102</v>
      </c>
      <c r="P57" s="1" t="s">
        <v>50</v>
      </c>
    </row>
    <row r="58" spans="1:16">
      <c r="A58" t="s">
        <v>41</v>
      </c>
      <c r="B58" s="9" t="s">
        <v>16</v>
      </c>
      <c r="C58" t="s">
        <v>26</v>
      </c>
      <c r="D58" t="s">
        <v>16</v>
      </c>
      <c r="E58" t="s">
        <v>26</v>
      </c>
      <c r="F58" t="s">
        <v>26</v>
      </c>
      <c r="G58" t="s">
        <v>26</v>
      </c>
      <c r="N58" s="17"/>
      <c r="O58" s="1" t="s">
        <v>103</v>
      </c>
      <c r="P58" s="1" t="s">
        <v>59</v>
      </c>
    </row>
    <row r="59" spans="1:16">
      <c r="A59" t="s">
        <v>63</v>
      </c>
      <c r="B59" t="s">
        <v>26</v>
      </c>
      <c r="C59" t="s">
        <v>26</v>
      </c>
      <c r="D59" t="s">
        <v>16</v>
      </c>
      <c r="E59" t="s">
        <v>26</v>
      </c>
      <c r="F59" t="s">
        <v>26</v>
      </c>
      <c r="G59" t="s">
        <v>16</v>
      </c>
      <c r="N59" s="17"/>
      <c r="O59" s="1" t="s">
        <v>104</v>
      </c>
      <c r="P59" s="1" t="s">
        <v>58</v>
      </c>
    </row>
    <row r="60" spans="1:16">
      <c r="A60" t="s">
        <v>42</v>
      </c>
      <c r="B60" s="9" t="s">
        <v>16</v>
      </c>
      <c r="C60" s="9" t="s">
        <v>16</v>
      </c>
      <c r="D60" t="s">
        <v>16</v>
      </c>
      <c r="E60" t="s">
        <v>16</v>
      </c>
      <c r="F60" t="s">
        <v>16</v>
      </c>
      <c r="G60" t="s">
        <v>26</v>
      </c>
      <c r="N60" s="18"/>
      <c r="O60" s="1" t="s">
        <v>105</v>
      </c>
      <c r="P60" s="1" t="s">
        <v>65</v>
      </c>
    </row>
    <row r="61" spans="1:16">
      <c r="A61" t="s">
        <v>52</v>
      </c>
      <c r="B61" s="9" t="s">
        <v>16</v>
      </c>
      <c r="C61" t="s">
        <v>26</v>
      </c>
      <c r="D61" t="s">
        <v>16</v>
      </c>
      <c r="E61" t="s">
        <v>26</v>
      </c>
      <c r="F61" t="s">
        <v>16</v>
      </c>
      <c r="G61" t="s">
        <v>16</v>
      </c>
    </row>
    <row r="62" spans="1:16">
      <c r="A62" t="s">
        <v>46</v>
      </c>
      <c r="B62" t="s">
        <v>26</v>
      </c>
      <c r="C62" t="s">
        <v>26</v>
      </c>
      <c r="D62" t="s">
        <v>26</v>
      </c>
      <c r="E62" t="s">
        <v>16</v>
      </c>
      <c r="F62" t="s">
        <v>26</v>
      </c>
      <c r="G62" t="s">
        <v>26</v>
      </c>
    </row>
    <row r="63" spans="1:16">
      <c r="A63" t="s">
        <v>50</v>
      </c>
      <c r="B63" t="s">
        <v>16</v>
      </c>
      <c r="C63" s="9" t="s">
        <v>16</v>
      </c>
      <c r="D63" t="s">
        <v>16</v>
      </c>
      <c r="E63" t="s">
        <v>16</v>
      </c>
      <c r="F63" t="s">
        <v>16</v>
      </c>
      <c r="G63" t="s">
        <v>16</v>
      </c>
    </row>
    <row r="64" spans="1:16">
      <c r="A64" t="s">
        <v>59</v>
      </c>
      <c r="B64" t="s">
        <v>16</v>
      </c>
      <c r="C64" t="s">
        <v>26</v>
      </c>
      <c r="D64" s="9" t="s">
        <v>16</v>
      </c>
      <c r="E64" t="s">
        <v>16</v>
      </c>
      <c r="F64" t="s">
        <v>26</v>
      </c>
      <c r="G64" t="s">
        <v>16</v>
      </c>
    </row>
    <row r="65" spans="1:7">
      <c r="A65" t="s">
        <v>27</v>
      </c>
      <c r="B65" t="s">
        <v>26</v>
      </c>
      <c r="C65" t="s">
        <v>26</v>
      </c>
      <c r="D65" t="s">
        <v>26</v>
      </c>
      <c r="E65" t="s">
        <v>26</v>
      </c>
      <c r="F65" t="s">
        <v>16</v>
      </c>
      <c r="G65" t="s">
        <v>26</v>
      </c>
    </row>
    <row r="66" spans="1:7">
      <c r="A66" t="s">
        <v>32</v>
      </c>
      <c r="B66" t="s">
        <v>26</v>
      </c>
      <c r="C66" t="s">
        <v>26</v>
      </c>
      <c r="D66" t="s">
        <v>16</v>
      </c>
      <c r="E66" t="s">
        <v>26</v>
      </c>
      <c r="F66" t="s">
        <v>26</v>
      </c>
      <c r="G66" t="s">
        <v>26</v>
      </c>
    </row>
    <row r="67" spans="1:7">
      <c r="A67" t="s">
        <v>55</v>
      </c>
      <c r="B67" t="s">
        <v>26</v>
      </c>
      <c r="C67" t="s">
        <v>16</v>
      </c>
      <c r="D67" t="s">
        <v>16</v>
      </c>
      <c r="E67" t="s">
        <v>16</v>
      </c>
      <c r="F67" t="s">
        <v>16</v>
      </c>
      <c r="G67" t="s">
        <v>26</v>
      </c>
    </row>
    <row r="68" spans="1:7">
      <c r="A68" t="s">
        <v>58</v>
      </c>
      <c r="B68" s="9" t="s">
        <v>16</v>
      </c>
      <c r="C68" s="9" t="s">
        <v>16</v>
      </c>
      <c r="D68" s="9" t="s">
        <v>16</v>
      </c>
      <c r="E68" t="s">
        <v>26</v>
      </c>
      <c r="F68" t="s">
        <v>16</v>
      </c>
      <c r="G68" t="s">
        <v>16</v>
      </c>
    </row>
    <row r="69" spans="1:7">
      <c r="A69" t="s">
        <v>36</v>
      </c>
      <c r="B69" t="s">
        <v>26</v>
      </c>
      <c r="C69" t="s">
        <v>26</v>
      </c>
      <c r="D69" t="s">
        <v>26</v>
      </c>
      <c r="E69" t="s">
        <v>26</v>
      </c>
      <c r="F69" t="s">
        <v>26</v>
      </c>
      <c r="G69" t="s">
        <v>26</v>
      </c>
    </row>
    <row r="70" spans="1:7">
      <c r="A70" t="s">
        <v>39</v>
      </c>
      <c r="B70" t="s">
        <v>26</v>
      </c>
      <c r="C70" t="s">
        <v>26</v>
      </c>
      <c r="D70" t="s">
        <v>26</v>
      </c>
      <c r="E70" t="s">
        <v>26</v>
      </c>
      <c r="F70" t="s">
        <v>26</v>
      </c>
      <c r="G70" t="s">
        <v>26</v>
      </c>
    </row>
    <row r="71" spans="1:7">
      <c r="A71" t="s">
        <v>106</v>
      </c>
      <c r="B71" t="s">
        <v>26</v>
      </c>
      <c r="C71" t="s">
        <v>26</v>
      </c>
      <c r="D71" t="s">
        <v>26</v>
      </c>
      <c r="E71" t="s">
        <v>26</v>
      </c>
      <c r="F71" t="s">
        <v>26</v>
      </c>
      <c r="G71" t="s">
        <v>26</v>
      </c>
    </row>
    <row r="72" spans="1:7">
      <c r="A72" t="s">
        <v>66</v>
      </c>
      <c r="B72" s="9" t="s">
        <v>16</v>
      </c>
      <c r="C72" t="s">
        <v>26</v>
      </c>
      <c r="D72" t="s">
        <v>16</v>
      </c>
      <c r="E72" t="s">
        <v>16</v>
      </c>
      <c r="F72" t="s">
        <v>26</v>
      </c>
      <c r="G72" t="s">
        <v>26</v>
      </c>
    </row>
    <row r="73" spans="1:7">
      <c r="A73" t="s">
        <v>107</v>
      </c>
      <c r="B73" t="s">
        <v>26</v>
      </c>
      <c r="C73" t="s">
        <v>26</v>
      </c>
      <c r="D73" t="s">
        <v>26</v>
      </c>
      <c r="E73" t="s">
        <v>26</v>
      </c>
      <c r="F73" t="s">
        <v>26</v>
      </c>
      <c r="G73" t="s">
        <v>26</v>
      </c>
    </row>
    <row r="74" spans="1:7">
      <c r="A74" t="s">
        <v>108</v>
      </c>
      <c r="B74" t="s">
        <v>26</v>
      </c>
      <c r="C74" t="s">
        <v>26</v>
      </c>
      <c r="D74" t="s">
        <v>26</v>
      </c>
      <c r="E74" t="s">
        <v>26</v>
      </c>
      <c r="F74" t="s">
        <v>26</v>
      </c>
      <c r="G74" t="s">
        <v>26</v>
      </c>
    </row>
    <row r="75" spans="1:7">
      <c r="A75" t="s">
        <v>69</v>
      </c>
      <c r="B75" s="9" t="s">
        <v>16</v>
      </c>
      <c r="C75" t="s">
        <v>26</v>
      </c>
      <c r="D75" t="s">
        <v>26</v>
      </c>
      <c r="E75" t="s">
        <v>26</v>
      </c>
      <c r="F75" t="s">
        <v>26</v>
      </c>
      <c r="G75" t="s">
        <v>26</v>
      </c>
    </row>
    <row r="76" spans="1:7">
      <c r="A76" t="s">
        <v>75</v>
      </c>
      <c r="B76" t="s">
        <v>26</v>
      </c>
      <c r="C76" t="s">
        <v>26</v>
      </c>
      <c r="D76" t="s">
        <v>16</v>
      </c>
      <c r="E76" t="s">
        <v>26</v>
      </c>
      <c r="F76" t="s">
        <v>26</v>
      </c>
      <c r="G76" t="s">
        <v>26</v>
      </c>
    </row>
    <row r="77" spans="1:7">
      <c r="A77" t="s">
        <v>62</v>
      </c>
      <c r="B77" t="s">
        <v>26</v>
      </c>
      <c r="C77" s="9" t="s">
        <v>16</v>
      </c>
      <c r="D77" t="s">
        <v>16</v>
      </c>
      <c r="E77" t="s">
        <v>26</v>
      </c>
      <c r="F77" t="s">
        <v>16</v>
      </c>
      <c r="G77" t="s">
        <v>26</v>
      </c>
    </row>
    <row r="78" spans="1:7">
      <c r="A78" t="s">
        <v>67</v>
      </c>
      <c r="B78" t="s">
        <v>26</v>
      </c>
      <c r="C78" s="9" t="s">
        <v>16</v>
      </c>
      <c r="D78" t="s">
        <v>16</v>
      </c>
      <c r="E78" t="s">
        <v>16</v>
      </c>
      <c r="F78" t="s">
        <v>26</v>
      </c>
      <c r="G78" t="s">
        <v>26</v>
      </c>
    </row>
    <row r="79" spans="1:7">
      <c r="A79" t="s">
        <v>65</v>
      </c>
      <c r="B79" t="s">
        <v>26</v>
      </c>
      <c r="C79" t="s">
        <v>16</v>
      </c>
      <c r="D79" s="9" t="s">
        <v>16</v>
      </c>
      <c r="E79" t="s">
        <v>16</v>
      </c>
      <c r="F79" t="s">
        <v>16</v>
      </c>
      <c r="G79" t="s">
        <v>16</v>
      </c>
    </row>
    <row r="80" spans="1:7">
      <c r="A80" t="s">
        <v>43</v>
      </c>
      <c r="B80" t="s">
        <v>26</v>
      </c>
      <c r="C80" t="s">
        <v>26</v>
      </c>
      <c r="D80" t="s">
        <v>26</v>
      </c>
      <c r="E80" t="s">
        <v>16</v>
      </c>
      <c r="F80" t="s">
        <v>26</v>
      </c>
      <c r="G80" t="s">
        <v>26</v>
      </c>
    </row>
    <row r="81" spans="1:7">
      <c r="A81" t="s">
        <v>47</v>
      </c>
      <c r="B81" t="s">
        <v>26</v>
      </c>
      <c r="C81" s="9" t="s">
        <v>16</v>
      </c>
      <c r="D81" s="9" t="s">
        <v>16</v>
      </c>
      <c r="E81" t="s">
        <v>26</v>
      </c>
      <c r="F81" t="s">
        <v>16</v>
      </c>
      <c r="G81" t="s">
        <v>26</v>
      </c>
    </row>
    <row r="82" spans="1:7">
      <c r="A82" t="s">
        <v>53</v>
      </c>
      <c r="B82" t="s">
        <v>26</v>
      </c>
      <c r="C82" t="s">
        <v>26</v>
      </c>
      <c r="D82" t="s">
        <v>26</v>
      </c>
      <c r="E82" t="s">
        <v>26</v>
      </c>
      <c r="F82" t="s">
        <v>26</v>
      </c>
      <c r="G82" t="s">
        <v>26</v>
      </c>
    </row>
    <row r="83" spans="1:7">
      <c r="A83" t="s">
        <v>56</v>
      </c>
      <c r="B83" t="s">
        <v>26</v>
      </c>
      <c r="C83" t="s">
        <v>26</v>
      </c>
      <c r="D83" t="s">
        <v>16</v>
      </c>
      <c r="E83" t="s">
        <v>26</v>
      </c>
      <c r="F83" t="s">
        <v>26</v>
      </c>
      <c r="G83" t="s">
        <v>26</v>
      </c>
    </row>
    <row r="84" spans="1:7">
      <c r="A84" t="s">
        <v>60</v>
      </c>
      <c r="B84" t="s">
        <v>26</v>
      </c>
      <c r="C84" t="s">
        <v>26</v>
      </c>
      <c r="D84" t="s">
        <v>26</v>
      </c>
      <c r="E84" t="s">
        <v>26</v>
      </c>
      <c r="F84" t="s">
        <v>26</v>
      </c>
      <c r="G84" t="s">
        <v>26</v>
      </c>
    </row>
  </sheetData>
  <mergeCells count="11">
    <mergeCell ref="N3:N15"/>
    <mergeCell ref="N16:N37"/>
    <mergeCell ref="N38:N50"/>
    <mergeCell ref="N51:N60"/>
    <mergeCell ref="J37:L37"/>
    <mergeCell ref="A1:C1"/>
    <mergeCell ref="F1:H1"/>
    <mergeCell ref="A20:C20"/>
    <mergeCell ref="F20:H20"/>
    <mergeCell ref="J1:K1"/>
    <mergeCell ref="J20:L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4E09-5125-4466-99AC-A66E0B5E6648}">
  <dimension ref="A1:M7"/>
  <sheetViews>
    <sheetView workbookViewId="0">
      <selection activeCell="I7" sqref="I7"/>
    </sheetView>
  </sheetViews>
  <sheetFormatPr defaultRowHeight="15"/>
  <cols>
    <col min="1" max="1" width="9.7109375" bestFit="1" customWidth="1"/>
    <col min="9" max="9" width="16.28515625" bestFit="1" customWidth="1"/>
    <col min="12" max="12" width="11.140625" bestFit="1" customWidth="1"/>
    <col min="13" max="13" width="10.140625" bestFit="1" customWidth="1"/>
  </cols>
  <sheetData>
    <row r="1" spans="1:13">
      <c r="A1" t="s">
        <v>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  <c r="J1" t="s">
        <v>117</v>
      </c>
      <c r="K1" s="11" t="s">
        <v>8</v>
      </c>
      <c r="L1" s="11" t="s">
        <v>114</v>
      </c>
      <c r="M1" s="11" t="s">
        <v>115</v>
      </c>
    </row>
    <row r="2" spans="1:13">
      <c r="A2" t="s">
        <v>1</v>
      </c>
      <c r="B2">
        <v>1365</v>
      </c>
      <c r="C2">
        <v>1181</v>
      </c>
      <c r="D2">
        <v>1258</v>
      </c>
      <c r="E2">
        <v>1460</v>
      </c>
      <c r="F2">
        <v>918</v>
      </c>
      <c r="G2">
        <f>AVERAGE(B2:F2)</f>
        <v>1236.4000000000001</v>
      </c>
      <c r="H2">
        <f>STDEV(B2:F2)</f>
        <v>207.03212311136659</v>
      </c>
      <c r="K2" s="2" t="s">
        <v>1</v>
      </c>
      <c r="L2" s="12">
        <v>1236.4000000000001</v>
      </c>
      <c r="M2" s="12">
        <v>207.03212311136659</v>
      </c>
    </row>
    <row r="3" spans="1:13">
      <c r="A3" t="s">
        <v>11</v>
      </c>
      <c r="B3">
        <v>4993</v>
      </c>
      <c r="C3">
        <v>4603</v>
      </c>
      <c r="D3">
        <v>6691</v>
      </c>
      <c r="E3">
        <v>5062</v>
      </c>
      <c r="F3">
        <v>5056</v>
      </c>
      <c r="G3">
        <f t="shared" ref="G3:G7" si="0">AVERAGE(B3:F3)</f>
        <v>5281</v>
      </c>
      <c r="H3">
        <f t="shared" ref="H3:H7" si="1">STDEV(B3:F3)</f>
        <v>810.75797868414463</v>
      </c>
      <c r="I3">
        <f>QUARTILE(B3:F3,1)</f>
        <v>4993</v>
      </c>
      <c r="J3">
        <f>QUARTILE(B3:F3,3)</f>
        <v>5062</v>
      </c>
      <c r="K3" s="2" t="s">
        <v>11</v>
      </c>
      <c r="L3" s="12">
        <v>5281</v>
      </c>
      <c r="M3" s="12">
        <v>810.75797868414463</v>
      </c>
    </row>
    <row r="4" spans="1:13">
      <c r="A4" t="s">
        <v>12</v>
      </c>
      <c r="B4">
        <v>6540</v>
      </c>
      <c r="C4">
        <v>6600</v>
      </c>
      <c r="D4">
        <v>6959</v>
      </c>
      <c r="E4">
        <v>6684</v>
      </c>
      <c r="F4">
        <v>6103</v>
      </c>
      <c r="G4">
        <f t="shared" si="0"/>
        <v>6577.2</v>
      </c>
      <c r="H4">
        <f t="shared" si="1"/>
        <v>309.81720417045921</v>
      </c>
      <c r="I4">
        <f t="shared" ref="I4:I7" si="2">QUARTILE(B4:F4,1)</f>
        <v>6540</v>
      </c>
      <c r="J4">
        <f t="shared" ref="J4:J7" si="3">QUARTILE(B4:F4,3)</f>
        <v>6684</v>
      </c>
      <c r="K4" s="2" t="s">
        <v>12</v>
      </c>
      <c r="L4" s="12">
        <v>6577.2</v>
      </c>
      <c r="M4" s="12">
        <v>309.81720417045921</v>
      </c>
    </row>
    <row r="5" spans="1:13">
      <c r="A5" t="s">
        <v>13</v>
      </c>
      <c r="B5">
        <v>1553</v>
      </c>
      <c r="C5">
        <v>798</v>
      </c>
      <c r="D5">
        <v>907</v>
      </c>
      <c r="E5">
        <v>1039</v>
      </c>
      <c r="F5">
        <v>767</v>
      </c>
      <c r="G5">
        <f t="shared" si="0"/>
        <v>1012.8</v>
      </c>
      <c r="H5">
        <f t="shared" si="1"/>
        <v>320.25489847932062</v>
      </c>
      <c r="I5">
        <f t="shared" si="2"/>
        <v>798</v>
      </c>
      <c r="J5">
        <f t="shared" si="3"/>
        <v>1039</v>
      </c>
      <c r="K5" s="2" t="s">
        <v>13</v>
      </c>
      <c r="L5" s="12">
        <v>1012.8</v>
      </c>
      <c r="M5" s="12">
        <v>320.25489847932062</v>
      </c>
    </row>
    <row r="6" spans="1:13">
      <c r="A6" t="s">
        <v>14</v>
      </c>
      <c r="B6">
        <v>10</v>
      </c>
      <c r="C6">
        <v>12</v>
      </c>
      <c r="D6">
        <v>10</v>
      </c>
      <c r="E6">
        <v>12</v>
      </c>
      <c r="F6">
        <v>13</v>
      </c>
      <c r="G6">
        <f t="shared" si="0"/>
        <v>11.4</v>
      </c>
      <c r="H6">
        <f t="shared" si="1"/>
        <v>1.3416407864998781</v>
      </c>
      <c r="I6">
        <f t="shared" si="2"/>
        <v>10</v>
      </c>
      <c r="J6">
        <f t="shared" si="3"/>
        <v>12</v>
      </c>
      <c r="K6" s="2" t="s">
        <v>14</v>
      </c>
      <c r="L6" s="12">
        <v>11.4</v>
      </c>
      <c r="M6" s="12">
        <v>1.3416407864998781</v>
      </c>
    </row>
    <row r="7" spans="1:13">
      <c r="A7" t="s">
        <v>0</v>
      </c>
      <c r="B7">
        <v>3636099</v>
      </c>
      <c r="C7">
        <v>1687102</v>
      </c>
      <c r="D7">
        <v>3641651</v>
      </c>
      <c r="E7">
        <v>3661281</v>
      </c>
      <c r="F7">
        <v>3657898</v>
      </c>
      <c r="G7">
        <f t="shared" si="0"/>
        <v>3256806.2</v>
      </c>
      <c r="H7">
        <f>STDEV(B7:F7)</f>
        <v>877555.45687705639</v>
      </c>
      <c r="I7">
        <f t="shared" si="2"/>
        <v>3636099</v>
      </c>
      <c r="J7">
        <f t="shared" si="3"/>
        <v>3657898</v>
      </c>
      <c r="K7" s="2" t="s">
        <v>0</v>
      </c>
      <c r="L7" s="12">
        <v>3256806.2</v>
      </c>
      <c r="M7" s="12">
        <v>877555.45687705639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A990F-2685-4F32-8261-F47C10C6A793}">
  <dimension ref="A1:J30"/>
  <sheetViews>
    <sheetView workbookViewId="0">
      <selection activeCell="G3" sqref="G3"/>
    </sheetView>
  </sheetViews>
  <sheetFormatPr defaultRowHeight="15"/>
  <cols>
    <col min="1" max="1" width="9.7109375" bestFit="1" customWidth="1"/>
    <col min="2" max="2" width="15.140625" bestFit="1" customWidth="1"/>
    <col min="3" max="3" width="20.140625" bestFit="1" customWidth="1"/>
    <col min="4" max="4" width="10.7109375" bestFit="1" customWidth="1"/>
    <col min="6" max="6" width="11.5703125" bestFit="1" customWidth="1"/>
    <col min="7" max="7" width="17.5703125" bestFit="1" customWidth="1"/>
    <col min="8" max="8" width="12.42578125" bestFit="1" customWidth="1"/>
    <col min="9" max="9" width="20.140625" bestFit="1" customWidth="1"/>
    <col min="10" max="10" width="17.140625" bestFit="1" customWidth="1"/>
  </cols>
  <sheetData>
    <row r="1" spans="1:10">
      <c r="A1" t="s">
        <v>8</v>
      </c>
      <c r="B1" t="s">
        <v>118</v>
      </c>
      <c r="C1" t="s">
        <v>119</v>
      </c>
      <c r="D1" t="s">
        <v>120</v>
      </c>
      <c r="F1" t="s">
        <v>4</v>
      </c>
      <c r="G1" t="s">
        <v>121</v>
      </c>
      <c r="H1" t="s">
        <v>122</v>
      </c>
      <c r="I1" t="s">
        <v>123</v>
      </c>
      <c r="J1" t="s">
        <v>124</v>
      </c>
    </row>
    <row r="2" spans="1:10">
      <c r="A2" t="s">
        <v>0</v>
      </c>
      <c r="B2" t="s">
        <v>125</v>
      </c>
      <c r="C2" t="s">
        <v>121</v>
      </c>
      <c r="F2" t="s">
        <v>18</v>
      </c>
      <c r="G2" t="s">
        <v>21</v>
      </c>
      <c r="H2" t="s">
        <v>21</v>
      </c>
      <c r="I2" t="s">
        <v>21</v>
      </c>
      <c r="J2" t="s">
        <v>22</v>
      </c>
    </row>
    <row r="3" spans="1:10">
      <c r="A3" t="s">
        <v>1</v>
      </c>
      <c r="B3" t="s">
        <v>126</v>
      </c>
      <c r="C3" t="s">
        <v>122</v>
      </c>
      <c r="F3" t="s">
        <v>15</v>
      </c>
      <c r="G3" t="s">
        <v>22</v>
      </c>
      <c r="H3" t="s">
        <v>22</v>
      </c>
      <c r="I3" t="s">
        <v>21</v>
      </c>
      <c r="J3" t="s">
        <v>21</v>
      </c>
    </row>
    <row r="4" spans="1:10">
      <c r="A4" t="s">
        <v>11</v>
      </c>
      <c r="B4" t="s">
        <v>126</v>
      </c>
      <c r="C4" t="s">
        <v>122</v>
      </c>
      <c r="F4" t="s">
        <v>17</v>
      </c>
      <c r="G4" t="s">
        <v>21</v>
      </c>
      <c r="H4" t="s">
        <v>22</v>
      </c>
      <c r="I4" t="s">
        <v>21</v>
      </c>
      <c r="J4" t="s">
        <v>22</v>
      </c>
    </row>
    <row r="5" spans="1:10">
      <c r="A5" t="s">
        <v>12</v>
      </c>
      <c r="B5" t="s">
        <v>125</v>
      </c>
      <c r="C5" t="s">
        <v>123</v>
      </c>
      <c r="F5" t="s">
        <v>23</v>
      </c>
      <c r="G5" t="s">
        <v>21</v>
      </c>
      <c r="H5" t="s">
        <v>34</v>
      </c>
      <c r="I5" t="s">
        <v>22</v>
      </c>
      <c r="J5" t="s">
        <v>22</v>
      </c>
    </row>
    <row r="6" spans="1:10">
      <c r="A6" t="s">
        <v>13</v>
      </c>
      <c r="B6" t="s">
        <v>126</v>
      </c>
      <c r="C6" t="s">
        <v>124</v>
      </c>
      <c r="F6" t="s">
        <v>25</v>
      </c>
      <c r="G6" t="s">
        <v>34</v>
      </c>
      <c r="H6" t="s">
        <v>22</v>
      </c>
      <c r="I6" t="s">
        <v>22</v>
      </c>
      <c r="J6" t="s">
        <v>22</v>
      </c>
    </row>
    <row r="7" spans="1:10">
      <c r="A7" t="s">
        <v>14</v>
      </c>
      <c r="B7" t="s">
        <v>126</v>
      </c>
      <c r="C7" t="s">
        <v>124</v>
      </c>
      <c r="F7" t="s">
        <v>31</v>
      </c>
      <c r="G7" t="s">
        <v>22</v>
      </c>
      <c r="H7" t="s">
        <v>22</v>
      </c>
      <c r="I7" t="s">
        <v>22</v>
      </c>
      <c r="J7" t="s">
        <v>21</v>
      </c>
    </row>
    <row r="8" spans="1:10">
      <c r="F8" t="s">
        <v>35</v>
      </c>
      <c r="G8" t="s">
        <v>22</v>
      </c>
      <c r="H8" t="s">
        <v>22</v>
      </c>
      <c r="I8" t="s">
        <v>34</v>
      </c>
      <c r="J8" t="s">
        <v>22</v>
      </c>
    </row>
    <row r="9" spans="1:10">
      <c r="F9" t="s">
        <v>51</v>
      </c>
      <c r="G9" t="s">
        <v>21</v>
      </c>
      <c r="H9" t="s">
        <v>22</v>
      </c>
      <c r="I9" t="s">
        <v>22</v>
      </c>
      <c r="J9" t="s">
        <v>21</v>
      </c>
    </row>
    <row r="10" spans="1:10">
      <c r="F10" t="s">
        <v>38</v>
      </c>
      <c r="G10" t="s">
        <v>21</v>
      </c>
      <c r="H10" t="s">
        <v>22</v>
      </c>
      <c r="I10" t="s">
        <v>22</v>
      </c>
      <c r="J10" t="s">
        <v>21</v>
      </c>
    </row>
    <row r="11" spans="1:10">
      <c r="F11" t="s">
        <v>41</v>
      </c>
      <c r="G11" t="s">
        <v>22</v>
      </c>
      <c r="H11" t="s">
        <v>34</v>
      </c>
      <c r="I11" t="s">
        <v>21</v>
      </c>
      <c r="J11" t="s">
        <v>21</v>
      </c>
    </row>
    <row r="12" spans="1:10">
      <c r="F12" t="s">
        <v>63</v>
      </c>
      <c r="G12" t="s">
        <v>21</v>
      </c>
      <c r="H12" t="s">
        <v>22</v>
      </c>
      <c r="I12" t="s">
        <v>21</v>
      </c>
      <c r="J12" t="s">
        <v>22</v>
      </c>
    </row>
    <row r="13" spans="1:10">
      <c r="F13" t="s">
        <v>42</v>
      </c>
      <c r="G13" t="s">
        <v>34</v>
      </c>
      <c r="H13" t="s">
        <v>22</v>
      </c>
      <c r="I13" t="s">
        <v>22</v>
      </c>
      <c r="J13" t="s">
        <v>34</v>
      </c>
    </row>
    <row r="14" spans="1:10">
      <c r="F14" t="s">
        <v>52</v>
      </c>
      <c r="G14" t="s">
        <v>22</v>
      </c>
      <c r="H14" t="s">
        <v>21</v>
      </c>
      <c r="I14" t="s">
        <v>21</v>
      </c>
      <c r="J14" t="s">
        <v>22</v>
      </c>
    </row>
    <row r="15" spans="1:10">
      <c r="F15" t="s">
        <v>50</v>
      </c>
      <c r="G15" t="s">
        <v>22</v>
      </c>
      <c r="H15" t="s">
        <v>22</v>
      </c>
      <c r="I15" t="s">
        <v>22</v>
      </c>
      <c r="J15" t="s">
        <v>22</v>
      </c>
    </row>
    <row r="16" spans="1:10">
      <c r="F16" t="s">
        <v>59</v>
      </c>
      <c r="G16" t="s">
        <v>34</v>
      </c>
      <c r="H16" t="s">
        <v>34</v>
      </c>
      <c r="I16" t="s">
        <v>22</v>
      </c>
      <c r="J16" t="s">
        <v>34</v>
      </c>
    </row>
    <row r="17" spans="6:10">
      <c r="F17" t="s">
        <v>27</v>
      </c>
      <c r="G17" t="s">
        <v>21</v>
      </c>
      <c r="H17" t="s">
        <v>21</v>
      </c>
      <c r="I17" t="s">
        <v>21</v>
      </c>
      <c r="J17" t="s">
        <v>22</v>
      </c>
    </row>
    <row r="18" spans="6:10">
      <c r="F18" t="s">
        <v>32</v>
      </c>
      <c r="G18" t="s">
        <v>21</v>
      </c>
      <c r="H18" t="s">
        <v>34</v>
      </c>
      <c r="I18" t="s">
        <v>21</v>
      </c>
      <c r="J18" t="s">
        <v>21</v>
      </c>
    </row>
    <row r="19" spans="6:10">
      <c r="F19" t="s">
        <v>55</v>
      </c>
      <c r="G19" t="s">
        <v>21</v>
      </c>
      <c r="H19" t="s">
        <v>22</v>
      </c>
      <c r="I19" t="s">
        <v>22</v>
      </c>
      <c r="J19" t="s">
        <v>22</v>
      </c>
    </row>
    <row r="20" spans="6:10">
      <c r="F20" t="s">
        <v>58</v>
      </c>
      <c r="G20" t="s">
        <v>34</v>
      </c>
      <c r="H20" t="s">
        <v>22</v>
      </c>
      <c r="I20" t="s">
        <v>21</v>
      </c>
      <c r="J20" t="s">
        <v>22</v>
      </c>
    </row>
    <row r="21" spans="6:10">
      <c r="F21" t="s">
        <v>36</v>
      </c>
      <c r="G21" t="s">
        <v>21</v>
      </c>
      <c r="H21" t="s">
        <v>21</v>
      </c>
      <c r="I21" t="s">
        <v>21</v>
      </c>
      <c r="J21" t="s">
        <v>21</v>
      </c>
    </row>
    <row r="22" spans="6:10">
      <c r="F22" t="s">
        <v>39</v>
      </c>
      <c r="G22" t="s">
        <v>21</v>
      </c>
      <c r="H22" t="s">
        <v>21</v>
      </c>
      <c r="I22" t="s">
        <v>21</v>
      </c>
      <c r="J22" t="s">
        <v>21</v>
      </c>
    </row>
    <row r="23" spans="6:10">
      <c r="F23" t="s">
        <v>75</v>
      </c>
      <c r="G23" t="s">
        <v>21</v>
      </c>
      <c r="H23" t="s">
        <v>22</v>
      </c>
      <c r="I23" t="s">
        <v>21</v>
      </c>
      <c r="J23" t="s">
        <v>21</v>
      </c>
    </row>
    <row r="24" spans="6:10">
      <c r="F24" t="s">
        <v>62</v>
      </c>
      <c r="G24" t="s">
        <v>21</v>
      </c>
      <c r="H24" t="s">
        <v>22</v>
      </c>
      <c r="I24" t="s">
        <v>21</v>
      </c>
      <c r="J24" t="s">
        <v>22</v>
      </c>
    </row>
    <row r="25" spans="6:10">
      <c r="F25" t="s">
        <v>65</v>
      </c>
      <c r="G25" t="s">
        <v>21</v>
      </c>
      <c r="H25" t="s">
        <v>22</v>
      </c>
      <c r="I25" t="s">
        <v>22</v>
      </c>
      <c r="J25" t="s">
        <v>22</v>
      </c>
    </row>
    <row r="26" spans="6:10">
      <c r="F26" t="s">
        <v>43</v>
      </c>
      <c r="G26" t="s">
        <v>21</v>
      </c>
      <c r="H26" t="s">
        <v>21</v>
      </c>
      <c r="I26" t="s">
        <v>34</v>
      </c>
      <c r="J26" t="s">
        <v>21</v>
      </c>
    </row>
    <row r="27" spans="6:10">
      <c r="F27" t="s">
        <v>47</v>
      </c>
      <c r="G27" t="s">
        <v>21</v>
      </c>
      <c r="H27" t="s">
        <v>34</v>
      </c>
      <c r="I27" t="s">
        <v>21</v>
      </c>
      <c r="J27" t="s">
        <v>34</v>
      </c>
    </row>
    <row r="28" spans="6:10">
      <c r="F28" t="s">
        <v>53</v>
      </c>
      <c r="G28" t="s">
        <v>21</v>
      </c>
      <c r="H28" t="s">
        <v>21</v>
      </c>
      <c r="I28" t="s">
        <v>21</v>
      </c>
      <c r="J28" t="s">
        <v>21</v>
      </c>
    </row>
    <row r="29" spans="6:10">
      <c r="F29" t="s">
        <v>56</v>
      </c>
      <c r="G29" t="s">
        <v>21</v>
      </c>
      <c r="H29" t="s">
        <v>34</v>
      </c>
      <c r="I29" t="s">
        <v>21</v>
      </c>
      <c r="J29" t="s">
        <v>21</v>
      </c>
    </row>
    <row r="30" spans="6:10">
      <c r="F30" t="s">
        <v>60</v>
      </c>
      <c r="G30" t="s">
        <v>21</v>
      </c>
      <c r="H30" t="s">
        <v>21</v>
      </c>
      <c r="I30" t="s">
        <v>21</v>
      </c>
      <c r="J30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D7DFB-1730-4F3F-809F-FA340446EE93}">
  <dimension ref="A1:E18"/>
  <sheetViews>
    <sheetView workbookViewId="0">
      <selection activeCell="C17" sqref="C17"/>
    </sheetView>
  </sheetViews>
  <sheetFormatPr defaultRowHeight="15"/>
  <cols>
    <col min="1" max="1" width="12" bestFit="1" customWidth="1"/>
    <col min="2" max="2" width="23.85546875" customWidth="1"/>
    <col min="3" max="3" width="36.5703125" bestFit="1" customWidth="1"/>
    <col min="5" max="5" width="11.7109375" bestFit="1" customWidth="1"/>
  </cols>
  <sheetData>
    <row r="1" spans="1:5" ht="19.5" customHeight="1">
      <c r="A1" t="s">
        <v>8</v>
      </c>
      <c r="B1" s="4" t="s">
        <v>127</v>
      </c>
      <c r="C1" t="s">
        <v>128</v>
      </c>
      <c r="E1" t="s">
        <v>129</v>
      </c>
    </row>
    <row r="2" spans="1:5">
      <c r="A2" t="s">
        <v>11</v>
      </c>
      <c r="B2">
        <v>22</v>
      </c>
      <c r="C2" t="s">
        <v>130</v>
      </c>
    </row>
    <row r="3" spans="1:5">
      <c r="A3" t="s">
        <v>12</v>
      </c>
      <c r="B3">
        <v>17</v>
      </c>
      <c r="C3" t="s">
        <v>130</v>
      </c>
    </row>
    <row r="4" spans="1:5" ht="29.25">
      <c r="A4" t="s">
        <v>131</v>
      </c>
      <c r="B4">
        <v>9</v>
      </c>
      <c r="C4" s="4" t="s">
        <v>132</v>
      </c>
    </row>
    <row r="5" spans="1:5" ht="29.25">
      <c r="A5" t="s">
        <v>133</v>
      </c>
      <c r="B5">
        <v>7</v>
      </c>
      <c r="C5" s="4" t="s">
        <v>134</v>
      </c>
    </row>
    <row r="6" spans="1:5" ht="29.25">
      <c r="A6" t="s">
        <v>135</v>
      </c>
      <c r="B6">
        <v>7</v>
      </c>
      <c r="C6" s="4" t="s">
        <v>136</v>
      </c>
    </row>
    <row r="7" spans="1:5">
      <c r="A7" t="s">
        <v>137</v>
      </c>
      <c r="B7">
        <v>7</v>
      </c>
      <c r="C7" t="s">
        <v>138</v>
      </c>
    </row>
    <row r="8" spans="1:5" ht="29.25">
      <c r="A8" t="s">
        <v>139</v>
      </c>
      <c r="B8">
        <v>6</v>
      </c>
      <c r="C8" s="4" t="s">
        <v>140</v>
      </c>
    </row>
    <row r="9" spans="1:5" ht="29.25">
      <c r="A9" t="s">
        <v>141</v>
      </c>
      <c r="B9">
        <v>6</v>
      </c>
      <c r="C9" s="4" t="s">
        <v>140</v>
      </c>
    </row>
    <row r="10" spans="1:5">
      <c r="A10" t="s">
        <v>142</v>
      </c>
      <c r="B10">
        <v>6</v>
      </c>
      <c r="C10" s="4" t="s">
        <v>143</v>
      </c>
    </row>
    <row r="11" spans="1:5" ht="29.25">
      <c r="A11" t="s">
        <v>144</v>
      </c>
      <c r="B11">
        <v>6</v>
      </c>
      <c r="C11" s="4" t="s">
        <v>136</v>
      </c>
    </row>
    <row r="12" spans="1:5">
      <c r="A12" t="s">
        <v>145</v>
      </c>
      <c r="B12">
        <v>6</v>
      </c>
      <c r="C12" t="s">
        <v>138</v>
      </c>
    </row>
    <row r="13" spans="1:5">
      <c r="A13" t="s">
        <v>0</v>
      </c>
      <c r="B13">
        <v>6</v>
      </c>
      <c r="C13" t="s">
        <v>130</v>
      </c>
    </row>
    <row r="14" spans="1:5" ht="29.25">
      <c r="A14" t="s">
        <v>146</v>
      </c>
      <c r="B14">
        <v>6</v>
      </c>
      <c r="C14" s="4" t="s">
        <v>136</v>
      </c>
    </row>
    <row r="15" spans="1:5">
      <c r="A15" t="s">
        <v>147</v>
      </c>
      <c r="B15">
        <v>6</v>
      </c>
      <c r="C15" t="s">
        <v>148</v>
      </c>
    </row>
    <row r="16" spans="1:5">
      <c r="A16" t="s">
        <v>149</v>
      </c>
      <c r="B16">
        <v>6</v>
      </c>
      <c r="C16" s="4" t="s">
        <v>150</v>
      </c>
    </row>
    <row r="17" spans="1:3" ht="29.25">
      <c r="A17" t="s">
        <v>151</v>
      </c>
      <c r="B17">
        <v>6</v>
      </c>
      <c r="C17" s="4" t="s">
        <v>140</v>
      </c>
    </row>
    <row r="18" spans="1:3">
      <c r="A18" t="s">
        <v>1</v>
      </c>
      <c r="B18">
        <v>4</v>
      </c>
      <c r="C18" t="s">
        <v>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2025-06-16T20:30:50Z</dcterms:created>
  <dcterms:modified xsi:type="dcterms:W3CDTF">2025-09-12T17:15:02Z</dcterms:modified>
  <cp:category/>
  <cp:contentStatus/>
</cp:coreProperties>
</file>